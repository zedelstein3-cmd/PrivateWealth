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defaultThemeVersion="202300"/>
  <mc:AlternateContent xmlns:mc="http://schemas.openxmlformats.org/markup-compatibility/2006">
    <mc:Choice Requires="x15">
      <x15ac:absPath xmlns:x15ac="http://schemas.microsoft.com/office/spreadsheetml/2010/11/ac" url="/Users/zacharyedelstein/Desktop/Internshit/projects/"/>
    </mc:Choice>
  </mc:AlternateContent>
  <xr:revisionPtr revIDLastSave="0" documentId="13_ncr:1_{A24525C1-8434-6A40-B3F5-5020FC09C6C7}" xr6:coauthVersionLast="47" xr6:coauthVersionMax="47" xr10:uidLastSave="{00000000-0000-0000-0000-000000000000}"/>
  <bookViews>
    <workbookView xWindow="200" yWindow="760" windowWidth="23720" windowHeight="17180" activeTab="3" xr2:uid="{D975DF9A-9322-5140-B89C-B265FA2C02DB}"/>
  </bookViews>
  <sheets>
    <sheet name="Instructoins" sheetId="2" r:id="rId1"/>
    <sheet name="STOCKS &quot;Base Sheet&quot;" sheetId="47" r:id="rId2"/>
    <sheet name="STOCKS &quot;Example&quot;" sheetId="15" r:id="rId3"/>
    <sheet name="PORTFOLIO ANALYZER" sheetId="3" r:id="rId4"/>
  </sheets>
  <functionGroups builtInGroupCount="19"/>
  <definedNames>
    <definedName name="_xlpm.c" hidden="1" xlm="1">#NAME?</definedName>
    <definedName name="_xlpm.cr" hidden="1" xlm="1">#NAME?</definedName>
    <definedName name="_xlpm.ct" hidden="1" xlm="1">#NAME?</definedName>
    <definedName name="_xlpm.h" hidden="1" xlm="1">#NAME?</definedName>
    <definedName name="_xlpm.hc" hidden="1" xlm="1">#NAME?</definedName>
    <definedName name="_xlpm.he" hidden="1" xlm="1">#NAME?</definedName>
    <definedName name="_xlpm.hr" hidden="1" xlm="1">#NAME?</definedName>
    <definedName name="_xlpm.hs" hidden="1" xlm="1">#NAME?</definedName>
    <definedName name="_xlpm.r" hidden="1" xlm="1">#NAME?</definedName>
    <definedName name="_xlpm.re" hidden="1" xlm="1">#NAME?</definedName>
    <definedName name="_xlpm.rr" hidden="1" xlm="1">#NAME?</definedName>
    <definedName name="_xlpm.rs" hidden="1" xlm="1">#NAME?</definedName>
    <definedName name="_xlpm.rt" hidden="1" xlm="1">#NAME?</definedName>
    <definedName name="_xlpm.s" hidden="1" xlm="1">#NAME?</definedName>
    <definedName name="_xlpm.stocks" hidden="1" xlm="1">#NAME?</definedName>
    <definedName name="_xlpm.x" hidden="1" xlm="1">#NAME?</definedName>
    <definedName name="_xlpm.y" hidden="1" xlm="1">#NAME?</definedName>
    <definedName name="solver_adj" localSheetId="3" hidden="1">'PORTFOLIO ANALYZER'!$S$17</definedName>
    <definedName name="solver_cvg" localSheetId="3" hidden="1">0.0001</definedName>
    <definedName name="solver_drv" localSheetId="3" hidden="1">1</definedName>
    <definedName name="solver_eng" localSheetId="3" hidden="1">1</definedName>
    <definedName name="solver_eng" localSheetId="1" hidden="1">1</definedName>
    <definedName name="solver_eng" localSheetId="2" hidden="1">1</definedName>
    <definedName name="solver_itr" localSheetId="3" hidden="1">2147483647</definedName>
    <definedName name="solver_lhs1" localSheetId="3" hidden="1">'PORTFOLIO ANALYZER'!$P$17</definedName>
    <definedName name="solver_lhs2" localSheetId="3" hidden="1">'PORTFOLIO ANALYZER'!$P$18</definedName>
    <definedName name="solver_lhs3" localSheetId="3" hidden="1">'PORTFOLIO ANALYZER'!$P$19</definedName>
    <definedName name="solver_lhs4" localSheetId="3" hidden="1">'PORTFOLIO ANALYZER'!$P$20</definedName>
    <definedName name="solver_lhs5" localSheetId="3" hidden="1">'PORTFOLIO ANALYZER'!$P$21</definedName>
    <definedName name="solver_lhs6" localSheetId="3" hidden="1">'PORTFOLIO ANALYZER'!$P$22</definedName>
    <definedName name="solver_lhs7" localSheetId="3" hidden="1">'PORTFOLIO ANALYZER'!$P$23</definedName>
    <definedName name="solver_lhs8" localSheetId="3" hidden="1">'PORTFOLIO ANALYZER'!$P$24</definedName>
    <definedName name="solver_lhs9" localSheetId="3" hidden="1">'PORTFOLIO ANALYZER'!$P$25</definedName>
    <definedName name="solver_lin" localSheetId="3" hidden="1">2</definedName>
    <definedName name="solver_lin" localSheetId="1" hidden="1">2</definedName>
    <definedName name="solver_lin" localSheetId="2"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eg" localSheetId="1" hidden="1">1</definedName>
    <definedName name="solver_neg" localSheetId="2" hidden="1">1</definedName>
    <definedName name="solver_nod" localSheetId="3" hidden="1">2147483647</definedName>
    <definedName name="solver_num" localSheetId="3" hidden="1">8</definedName>
    <definedName name="solver_num" localSheetId="1" hidden="1">0</definedName>
    <definedName name="solver_num" localSheetId="2" hidden="1">0</definedName>
    <definedName name="solver_opt" localSheetId="3" hidden="1">'PORTFOLIO ANALYZER'!$S$17</definedName>
    <definedName name="solver_opt" localSheetId="1" hidden="1">'STOCKS "Base Sheet"'!$L$18</definedName>
    <definedName name="solver_opt" localSheetId="2" hidden="1">'STOCKS "Example"'!$L$23</definedName>
    <definedName name="solver_pre" localSheetId="3" hidden="1">0.000001</definedName>
    <definedName name="solver_rbv" localSheetId="3" hidden="1">1</definedName>
    <definedName name="solver_rel1" localSheetId="3" hidden="1">2</definedName>
    <definedName name="solver_rel2" localSheetId="3" hidden="1">3</definedName>
    <definedName name="solver_rel3" localSheetId="3" hidden="1">3</definedName>
    <definedName name="solver_rel4" localSheetId="3" hidden="1">3</definedName>
    <definedName name="solver_rel5" localSheetId="3" hidden="1">3</definedName>
    <definedName name="solver_rel6" localSheetId="3" hidden="1">3</definedName>
    <definedName name="solver_rel7" localSheetId="3" hidden="1">3</definedName>
    <definedName name="solver_rel8" localSheetId="3" hidden="1">3</definedName>
    <definedName name="solver_rel9" localSheetId="3" hidden="1">1</definedName>
    <definedName name="solver_rhs1" localSheetId="3" hidden="1">'PORTFOLIO ANALYZER'!$R$17</definedName>
    <definedName name="solver_rhs2" localSheetId="3" hidden="1">'PORTFOLIO ANALYZER'!$R$18</definedName>
    <definedName name="solver_rhs3" localSheetId="3" hidden="1">'PORTFOLIO ANALYZER'!$R$19</definedName>
    <definedName name="solver_rhs4" localSheetId="3" hidden="1">'PORTFOLIO ANALYZER'!$R$20</definedName>
    <definedName name="solver_rhs5" localSheetId="3" hidden="1">'PORTFOLIO ANALYZER'!$R$21</definedName>
    <definedName name="solver_rhs6" localSheetId="3" hidden="1">'PORTFOLIO ANALYZER'!$R$22</definedName>
    <definedName name="solver_rhs7" localSheetId="3" hidden="1">'PORTFOLIO ANALYZER'!$R$23</definedName>
    <definedName name="solver_rhs8" localSheetId="3" hidden="1">'PORTFOLIO ANALYZER'!$R$24</definedName>
    <definedName name="solver_rhs9" localSheetId="3" hidden="1">'PORTFOLIO ANALYZER'!$R$25</definedName>
    <definedName name="solver_rlx" localSheetId="3" hidden="1">1</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1</definedName>
    <definedName name="solver_typ" localSheetId="1" hidden="1">1</definedName>
    <definedName name="solver_typ" localSheetId="2" hidden="1">1</definedName>
    <definedName name="solver_val" localSheetId="3" hidden="1">0</definedName>
    <definedName name="solver_val" localSheetId="1" hidden="1">0</definedName>
    <definedName name="solver_val" localSheetId="2" hidden="1">0</definedName>
    <definedName name="solver_ver" localSheetId="3" hidden="1">2</definedName>
    <definedName name="solver_ver" localSheetId="1" hidden="1">2</definedName>
    <definedName name="solver_ver" localSheetId="2"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47" l="1" a="1"/>
  <c r="K4" i="47" s="1"/>
  <c r="V4" i="47" a="1"/>
  <c r="V4" i="47" s="1"/>
  <c r="U4" i="47" a="1"/>
  <c r="U4" i="47" s="1"/>
  <c r="S4" i="47" a="1"/>
  <c r="S4" i="47" s="1"/>
  <c r="R4" i="47" a="1"/>
  <c r="R4" i="47" s="1"/>
  <c r="Q4" i="47" a="1"/>
  <c r="Q4" i="47" s="1"/>
  <c r="P4" i="47" a="1"/>
  <c r="P4" i="47" s="1"/>
  <c r="J4" i="47" a="1"/>
  <c r="J4" i="47" s="1"/>
  <c r="J9" i="15" a="1"/>
  <c r="J9" i="15" s="1"/>
  <c r="K9" i="15" a="1"/>
  <c r="K9" i="15" s="1"/>
  <c r="P9" i="15" a="1"/>
  <c r="P9" i="15" s="1"/>
  <c r="W9" i="15" s="1"/>
  <c r="Q9" i="15" a="1"/>
  <c r="Q9" i="15" s="1"/>
  <c r="R9" i="15" a="1"/>
  <c r="R9" i="15" s="1"/>
  <c r="S9" i="15" a="1"/>
  <c r="S9" i="15" s="1"/>
  <c r="U9" i="15" a="1"/>
  <c r="U9" i="15" s="1"/>
  <c r="V9" i="15" a="1"/>
  <c r="V9" i="15" s="1"/>
  <c r="O9" i="3" a="1"/>
  <c r="Q7" i="3" a="1"/>
  <c r="B19" i="3" a="1"/>
  <c r="O7" i="3" a="1"/>
  <c r="X4" i="47" l="1"/>
  <c r="W4" i="47"/>
  <c r="T4" i="47"/>
  <c r="B19" i="3"/>
  <c r="X9" i="15"/>
  <c r="T9" i="15"/>
  <c r="O9" i="3"/>
  <c r="O7" i="3"/>
  <c r="Q7" i="3"/>
  <c r="K4" i="15" a="1"/>
  <c r="K4" i="15" s="1"/>
  <c r="K5" i="15" a="1"/>
  <c r="K5" i="15" s="1"/>
  <c r="K6" i="15" a="1"/>
  <c r="K6" i="15" s="1"/>
  <c r="K7" i="15" a="1"/>
  <c r="K7" i="15" s="1"/>
  <c r="K8" i="15" a="1"/>
  <c r="K8" i="15" s="1"/>
  <c r="J8" i="15" a="1"/>
  <c r="J8" i="15" s="1"/>
  <c r="P8" i="15" a="1"/>
  <c r="P8" i="15" s="1"/>
  <c r="W8" i="15" s="1"/>
  <c r="Q8" i="15" a="1"/>
  <c r="Q8" i="15" s="1"/>
  <c r="R8" i="15" a="1"/>
  <c r="R8" i="15" s="1"/>
  <c r="S8" i="15" a="1"/>
  <c r="S8" i="15" s="1"/>
  <c r="U8" i="15" a="1"/>
  <c r="U8" i="15" s="1"/>
  <c r="V8" i="15" a="1"/>
  <c r="V8" i="15" s="1"/>
  <c r="J7" i="15" a="1"/>
  <c r="J7" i="15" s="1"/>
  <c r="P7" i="15" a="1"/>
  <c r="P7" i="15" s="1"/>
  <c r="Q7" i="15" a="1"/>
  <c r="Q7" i="15" s="1"/>
  <c r="R7" i="15" a="1"/>
  <c r="R7" i="15" s="1"/>
  <c r="S7" i="15" a="1"/>
  <c r="S7" i="15" s="1"/>
  <c r="U7" i="15" a="1"/>
  <c r="U7" i="15" s="1"/>
  <c r="V7" i="15" a="1"/>
  <c r="V7" i="15" s="1"/>
  <c r="J6" i="15" a="1"/>
  <c r="J6" i="15" s="1"/>
  <c r="P6" i="15" a="1"/>
  <c r="P6" i="15" s="1"/>
  <c r="Q6" i="15" a="1"/>
  <c r="Q6" i="15" s="1"/>
  <c r="R6" i="15" a="1"/>
  <c r="R6" i="15" s="1"/>
  <c r="S6" i="15" a="1"/>
  <c r="S6" i="15" s="1"/>
  <c r="U6" i="15" a="1"/>
  <c r="U6" i="15" s="1"/>
  <c r="V6" i="15" a="1"/>
  <c r="V6" i="15" s="1"/>
  <c r="J5" i="15" a="1"/>
  <c r="J5" i="15" s="1"/>
  <c r="P5" i="15" a="1"/>
  <c r="P5" i="15" s="1"/>
  <c r="Q5" i="15" a="1"/>
  <c r="Q5" i="15" s="1"/>
  <c r="R5" i="15" a="1"/>
  <c r="R5" i="15" s="1"/>
  <c r="S5" i="15" a="1"/>
  <c r="S5" i="15" s="1"/>
  <c r="U5" i="15" a="1"/>
  <c r="U5" i="15" s="1"/>
  <c r="V5" i="15" a="1"/>
  <c r="V5" i="15" s="1"/>
  <c r="M19" i="3" a="1"/>
  <c r="E24" i="3" l="1"/>
  <c r="M19" i="3"/>
  <c r="T8" i="15"/>
  <c r="X8" i="15"/>
  <c r="W7" i="15"/>
  <c r="X7" i="15"/>
  <c r="T7" i="15"/>
  <c r="W6" i="15"/>
  <c r="X6" i="15"/>
  <c r="T6" i="15"/>
  <c r="W5" i="15"/>
  <c r="X5" i="15"/>
  <c r="T5" i="15"/>
  <c r="O4" i="3"/>
  <c r="D24" i="3" l="1" a="1"/>
  <c r="D24" i="3" s="1"/>
  <c r="J4" i="15" a="1"/>
  <c r="J4" i="15" s="1"/>
  <c r="V4" i="15" a="1"/>
  <c r="V4" i="15" s="1"/>
  <c r="U4" i="15" a="1"/>
  <c r="U4" i="15" s="1"/>
  <c r="S4" i="15" a="1"/>
  <c r="S4" i="15" s="1"/>
  <c r="R4" i="15" a="1"/>
  <c r="R4" i="15" s="1"/>
  <c r="Q4" i="15" a="1"/>
  <c r="Q4" i="15" s="1"/>
  <c r="P4" i="15" a="1"/>
  <c r="P4" i="15" s="1"/>
  <c r="F24" i="3" a="1"/>
  <c r="S4" i="3" a="1"/>
  <c r="J24" i="3" a="1"/>
  <c r="K24" i="3" a="1"/>
  <c r="F24" i="3" l="1"/>
  <c r="G24" i="3" s="1"/>
  <c r="J24" i="3"/>
  <c r="K24" i="3"/>
  <c r="S4" i="3"/>
  <c r="X4" i="15"/>
  <c r="W4" i="15"/>
  <c r="T4" i="15"/>
  <c r="U4" i="3" a="1"/>
  <c r="U4" i="3" l="1"/>
  <c r="E23" i="3"/>
  <c r="E22" i="3"/>
  <c r="E21" i="3"/>
  <c r="E20" i="3"/>
  <c r="E19" i="3"/>
  <c r="K19" i="3" a="1"/>
  <c r="N19" i="3" a="1"/>
  <c r="F22" i="3" a="1"/>
  <c r="K21" i="3" a="1"/>
  <c r="J23" i="3" a="1"/>
  <c r="F20" i="3" a="1"/>
  <c r="O19" i="3" l="1" a="1"/>
  <c r="Q4" i="3" a="1"/>
  <c r="Q4" i="3" s="1"/>
  <c r="N19" i="3"/>
  <c r="K19" i="3"/>
  <c r="K21" i="3"/>
  <c r="J23" i="3"/>
  <c r="F20" i="3"/>
  <c r="F22" i="3"/>
  <c r="D23" i="3" a="1"/>
  <c r="D23" i="3" s="1"/>
  <c r="D22" i="3" a="1"/>
  <c r="D22" i="3" s="1"/>
  <c r="D21" i="3" a="1"/>
  <c r="D21" i="3" s="1"/>
  <c r="D20" i="3" a="1"/>
  <c r="D20" i="3" s="1"/>
  <c r="D19" i="3" a="1"/>
  <c r="D19" i="3" s="1"/>
  <c r="F23" i="3" a="1"/>
  <c r="J20" i="3" a="1"/>
  <c r="K23" i="3" a="1"/>
  <c r="J19" i="3" a="1"/>
  <c r="K20" i="3" a="1"/>
  <c r="K22" i="3" a="1"/>
  <c r="F21" i="3" a="1"/>
  <c r="J21" i="3" a="1"/>
  <c r="J22" i="3" a="1"/>
  <c r="F19" i="3" a="1"/>
  <c r="K23" i="3" l="1"/>
  <c r="J20" i="3"/>
  <c r="F23" i="3"/>
  <c r="G23" i="3" s="1"/>
  <c r="K20" i="3"/>
  <c r="F19" i="3"/>
  <c r="G19" i="3" s="1"/>
  <c r="J19" i="3"/>
  <c r="J22" i="3"/>
  <c r="J21" i="3"/>
  <c r="F21" i="3"/>
  <c r="K22" i="3"/>
  <c r="L20" i="3"/>
  <c r="P19" i="3" s="1"/>
  <c r="L21" i="3"/>
  <c r="P20" i="3" s="1"/>
  <c r="L22" i="3"/>
  <c r="P21" i="3" s="1"/>
  <c r="L23" i="3"/>
  <c r="P22" i="3" s="1"/>
  <c r="L24" i="3"/>
  <c r="P23" i="3" s="1"/>
  <c r="O19" i="3"/>
  <c r="L19" i="3" s="1"/>
  <c r="P18" i="3" s="1"/>
  <c r="G22" i="3"/>
  <c r="G21" i="3"/>
  <c r="G20" i="3"/>
  <c r="U13" i="3" a="1"/>
  <c r="K8" i="3" l="1"/>
  <c r="M4" i="3" s="1"/>
  <c r="M7" i="3" s="1"/>
  <c r="I4" i="3"/>
  <c r="K4" i="3"/>
  <c r="P17" i="3"/>
  <c r="U13" i="3"/>
  <c r="T14" i="3" a="1"/>
  <c r="M9" i="3" l="1"/>
  <c r="T14" i="3"/>
  <c r="U14" i="3" a="1"/>
  <c r="U14" i="3" l="1"/>
  <c r="H20" i="3" s="1" a="1"/>
  <c r="H20" i="3" s="1"/>
  <c r="I8" i="3" a="1"/>
  <c r="I8" i="3" s="1"/>
  <c r="S8" i="3" s="1"/>
  <c r="H23" i="3" l="1" a="1"/>
  <c r="H23" i="3" s="1"/>
  <c r="I23" i="3" s="1"/>
  <c r="H24" i="3" a="1"/>
  <c r="H24" i="3" s="1"/>
  <c r="I24" i="3" s="1"/>
  <c r="H19" i="3" a="1"/>
  <c r="H19" i="3" s="1"/>
  <c r="I19" i="3" s="1"/>
  <c r="H21" i="3" a="1"/>
  <c r="H21" i="3" s="1"/>
  <c r="I21" i="3" s="1"/>
  <c r="H22" i="3" a="1"/>
  <c r="H22" i="3" s="1"/>
  <c r="I22" i="3" s="1"/>
  <c r="I20" i="3"/>
  <c r="P24"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<sst xmlns="http://schemas.openxmlformats.org/spreadsheetml/2006/main" count="112" uniqueCount="70">
  <si>
    <t>STOCK</t>
  </si>
  <si>
    <t>DATE</t>
  </si>
  <si>
    <t>QUANTITY</t>
  </si>
  <si>
    <t>PRICE</t>
  </si>
  <si>
    <t>ADD STOCK</t>
  </si>
  <si>
    <t>REMOVE STOCK</t>
  </si>
  <si>
    <t>DUPLICATE TAB</t>
  </si>
  <si>
    <t>DELETE TAB</t>
  </si>
  <si>
    <t>REFRESH DATA</t>
  </si>
  <si>
    <t xml:space="preserve">AutoFit Page		
		</t>
  </si>
  <si>
    <t>Begenning Info</t>
  </si>
  <si>
    <t>COMPANY  NAME</t>
  </si>
  <si>
    <t>CURRENT PRICE</t>
  </si>
  <si>
    <t>52 WEEK LOW</t>
  </si>
  <si>
    <t>52 Week HIGH</t>
  </si>
  <si>
    <t>P/E</t>
  </si>
  <si>
    <t>EPS</t>
  </si>
  <si>
    <t>Current Info</t>
  </si>
  <si>
    <t>STOCK PORTFOLIO LIST</t>
  </si>
  <si>
    <t>3 Month History</t>
  </si>
  <si>
    <t>1 Year History</t>
  </si>
  <si>
    <t>Stock Beta Vs</t>
  </si>
  <si>
    <t>Exchange</t>
  </si>
  <si>
    <t>Index Beta</t>
  </si>
  <si>
    <t>BUY PRICE</t>
  </si>
  <si>
    <t>Varience</t>
  </si>
  <si>
    <t>Portfolio Varience</t>
  </si>
  <si>
    <t>Average Expected Return</t>
  </si>
  <si>
    <t>Capital Gain/Loss</t>
  </si>
  <si>
    <t>Beta</t>
  </si>
  <si>
    <t>Name</t>
  </si>
  <si>
    <t>Stock</t>
  </si>
  <si>
    <t>Standard Deviation</t>
  </si>
  <si>
    <t>Non Dividend Return</t>
  </si>
  <si>
    <t>Averaged Geometric Return</t>
  </si>
  <si>
    <t>PASTE EXACT SHEET NAME:</t>
  </si>
  <si>
    <t>EXCHANHGE USED</t>
  </si>
  <si>
    <t>Exchange Varience</t>
  </si>
  <si>
    <t>Covarience With Exchange</t>
  </si>
  <si>
    <t>Weight</t>
  </si>
  <si>
    <t>Covariance With Portfolio</t>
  </si>
  <si>
    <t>Total Capital</t>
  </si>
  <si>
    <t>Total Value</t>
  </si>
  <si>
    <t>Stock List</t>
  </si>
  <si>
    <t>Exchange Covariences</t>
  </si>
  <si>
    <t>PASTE EXCHANGE INDEX</t>
  </si>
  <si>
    <t>Portfolio Analyzer</t>
  </si>
  <si>
    <t>Portfolio 
Stats</t>
  </si>
  <si>
    <t xml:space="preserve">Stock List and Stats </t>
  </si>
  <si>
    <t>Covarience Matrix</t>
  </si>
  <si>
    <t>3 Year History</t>
  </si>
  <si>
    <t>Average Market Cap (Billion)</t>
  </si>
  <si>
    <t>Geometric</t>
  </si>
  <si>
    <t xml:space="preserve">Exchange Return </t>
  </si>
  <si>
    <t>Net Capital Gain/Loss</t>
  </si>
  <si>
    <t>MARKET CAP (Billion)</t>
  </si>
  <si>
    <t>Arithmatic Returns</t>
  </si>
  <si>
    <t>Geometric Returns</t>
  </si>
  <si>
    <t>Net Capital</t>
  </si>
  <si>
    <t>Systematic Return</t>
  </si>
  <si>
    <t>Return Excess of Systematic</t>
  </si>
  <si>
    <t>Solver Constraints</t>
  </si>
  <si>
    <t>=</t>
  </si>
  <si>
    <t>Ojective</t>
  </si>
  <si>
    <t>Quantity</t>
  </si>
  <si>
    <t>&gt;=</t>
  </si>
  <si>
    <t>STOCKS "Example"</t>
  </si>
  <si>
    <r>
      <rPr>
        <b/>
        <sz val="12"/>
        <color theme="1"/>
        <rFont val="Aptos Narrow"/>
        <scheme val="minor"/>
      </rPr>
      <t xml:space="preserve">Limitatoins: 
</t>
    </r>
    <r>
      <rPr>
        <sz val="12"/>
        <color theme="1"/>
        <rFont val="Aptos Narrow"/>
        <scheme val="minor"/>
      </rPr>
      <t xml:space="preserve">This sheet uses Exel's built in stock data which does not provide live or historical dividend information.  Because of this these valuations are not actually realistic unless using zero dividend stocks. This sheet is only conceptual and just for fun/understanding.
</t>
    </r>
    <r>
      <rPr>
        <b/>
        <sz val="12"/>
        <color theme="1"/>
        <rFont val="Aptos Narrow"/>
        <scheme val="minor"/>
      </rPr>
      <t xml:space="preserve">Instructoins: 
</t>
    </r>
    <r>
      <rPr>
        <sz val="12"/>
        <color theme="1"/>
        <rFont val="Aptos Narrow"/>
        <scheme val="minor"/>
      </rPr>
      <t xml:space="preserve">This sheet uses control boxes with VBA buttons, you must not have these blocked on your computor for it to functoin.The first sheet is the base sheet to make your portfolio. When you do so please duplicate the tab, then use and rename it so that you do not delete built in equatoins. To add or remove a stock type the stocks name in the stock blank, then click data, and then stock. All other tabs should automatically fill unless you type a custom number/date. If the don't, double click the cell then press enter and it will automatically fill. Then click add stock. The last sheet is the portfolio analyzer sheet. It includes betas, returns, ext. It calculates based on weekly changes. You cal play around with it, change the historical period you use for the calculatoins, add your own equatoins, and mess around with solver to optimize the portfolio. To start, paste the exact name of the sheet that has the portfolio you want to analyze, and use excels stock functoin to pick an index that tracks an exchange  to compare your portfolio too. Next, click update sheet.  Next you can play around with numbers, and interpret data. When using solver, please copy the functoin of the cells you allow it to change somewhere else because the equatoin will delete. Please note that it has limitatoins because of calculatoins solver can't do. 
</t>
    </r>
    <r>
      <rPr>
        <b/>
        <sz val="12"/>
        <color theme="1"/>
        <rFont val="Aptos Narrow"/>
        <scheme val="minor"/>
      </rPr>
      <t xml:space="preserve">Troubleshooting: 
</t>
    </r>
    <r>
      <rPr>
        <sz val="12"/>
        <color theme="1"/>
        <rFont val="Aptos Narrow"/>
        <scheme val="minor"/>
      </rPr>
      <t xml:space="preserve"> If the sheet freezes press ESC and it will update. If data doesnt update press refresh data. To udate sheet press update sheet. </t>
    </r>
  </si>
  <si>
    <t>10 Year Treasury Bill Rate (Risk-Free)</t>
  </si>
  <si>
    <t>Sharpe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</si>
</sst>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yy"/>
    <numFmt numFmtId="165" formatCode="&quot;$&quot;#,##0.00"/>
    <numFmt numFmtId="166" formatCode="_([$$-409]* #,##0.00_);_([$$-409]* \(#,##0.00\);_([$$-409]* &quot;-&quot;??_);_(@_)"/>
    <numFmt numFmtId="167" formatCode="0.000000000"/>
    <numFmt numFmtId="168" formatCode="0.0000000000"/>
    <numFmt numFmtId="169" formatCode="0.00000000000"/>
  </numFmts>
  <fonts count="29" x14ac:knownFonts="1">
    <font>
      <sz val="12"/>
      <color theme="1"/>
      <name val="Aptos Narrow"/>
      <family val="2"/>
      <scheme val="minor"/>
    </font>
    <font>
      <b/>
      <sz val="12"/>
      <color theme="1"/>
      <name val="Aptos Narrow"/>
      <family val="2"/>
      <scheme val="minor"/>
    </font>
    <font>
      <b/>
      <sz val="12"/>
      <color theme="1"/>
      <name val="Aptos Narrow"/>
      <scheme val="minor"/>
    </font>
    <font>
      <sz val="12"/>
      <color theme="1"/>
      <name val="Aptos Narrow"/>
      <scheme val="minor"/>
    </font>
    <font>
      <sz val="14"/>
      <color theme="1"/>
      <name val="Aptos Narrow"/>
      <family val="2"/>
      <scheme val="minor"/>
    </font>
    <font>
      <sz val="16"/>
      <color theme="1"/>
      <name val="Aptos Narrow"/>
      <family val="2"/>
      <scheme val="minor"/>
    </font>
    <font>
      <b/>
      <sz val="14"/>
      <color theme="1"/>
      <name val="Aptos Narrow"/>
      <scheme val="minor"/>
    </font>
    <font>
      <b/>
      <sz val="16"/>
      <color theme="0"/>
      <name val="Aptos Narrow"/>
      <scheme val="minor"/>
    </font>
    <font>
      <b/>
      <sz val="16"/>
      <color theme="0"/>
      <name val="Aptos Narrow (Body)"/>
    </font>
    <font>
      <sz val="8"/>
      <name val="Aptos Narrow"/>
      <family val="2"/>
      <scheme val="minor"/>
    </font>
    <font>
      <sz val="12"/>
      <color rgb="FF000000"/>
      <name val="Aptos Narrow"/>
    </font>
    <font>
      <sz val="12"/>
      <color theme="1"/>
      <name val="Aptos Narrow"/>
      <family val="2"/>
      <scheme val="minor"/>
    </font>
    <font>
      <b/>
      <sz val="12"/>
      <color theme="0"/>
      <name val="Aptos Narrow"/>
      <family val="2"/>
      <scheme val="minor"/>
    </font>
    <font>
      <sz val="12"/>
      <color theme="0"/>
      <name val="Aptos Narrow"/>
      <family val="2"/>
      <scheme val="minor"/>
    </font>
    <font>
      <sz val="12"/>
      <color rgb="FF000000"/>
      <name val="Aptos Narrow"/>
      <family val="2"/>
      <scheme val="minor"/>
    </font>
    <font>
      <sz val="14"/>
      <color rgb="FF000000"/>
      <name val="Helvetica Neue"/>
      <family val="2"/>
    </font>
    <font>
      <b/>
      <sz val="14"/>
      <color theme="0"/>
      <name val="Aptos Narrow"/>
      <scheme val="minor"/>
    </font>
    <font>
      <b/>
      <sz val="13"/>
      <color theme="0"/>
      <name val="Aptos Narrow"/>
      <scheme val="minor"/>
    </font>
    <font>
      <sz val="13"/>
      <color theme="0"/>
      <name val="Aptos Narrow"/>
      <scheme val="minor"/>
    </font>
    <font>
      <sz val="16"/>
      <color theme="0"/>
      <name val="Aptos Narrow"/>
      <family val="2"/>
      <scheme val="minor"/>
    </font>
    <font>
      <sz val="12"/>
      <color theme="0"/>
      <name val="Aptos Narrow (Body)"/>
    </font>
    <font>
      <b/>
      <sz val="26"/>
      <color theme="0"/>
      <name val="Aptos Narrow (Body)"/>
    </font>
    <font>
      <b/>
      <sz val="26"/>
      <color theme="1"/>
      <name val="Aptos Narrow"/>
      <family val="2"/>
      <scheme val="minor"/>
    </font>
    <font>
      <b/>
      <sz val="36"/>
      <color theme="0"/>
      <name val="Aptos Narrow (Body)"/>
    </font>
    <font>
      <b/>
      <sz val="36"/>
      <color theme="1"/>
      <name val="Aptos Narrow"/>
      <family val="2"/>
      <scheme val="minor"/>
    </font>
    <font>
      <b/>
      <sz val="28"/>
      <color theme="0"/>
      <name val="Aptos Narrow"/>
      <scheme val="minor"/>
    </font>
    <font>
      <sz val="10.9"/>
      <color rgb="FF000000"/>
      <name val="Aptos Narrow"/>
    </font>
    <font>
      <sz val="10.7"/>
      <color rgb="FF000000"/>
      <name val="Aptos Narrow"/>
    </font>
    <font>
      <sz val="12"/>
      <color theme="0"/>
      <name val="Aptos Narrow"/>
      <scheme val="minor"/>
    </font>
  </fonts>
  <fills count="18">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theme="0" tint="-0.34998626667073579"/>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CAEDFB"/>
        <bgColor rgb="FFCAEDFB"/>
      </patternFill>
    </fill>
    <fill>
      <patternFill patternType="solid">
        <fgColor theme="3" tint="0.499984740745262"/>
        <bgColor indexed="64"/>
      </patternFill>
    </fill>
    <fill>
      <patternFill patternType="solid">
        <fgColor rgb="FF0070C0"/>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rgb="FF94DCF9"/>
        <bgColor rgb="FFCAEDFB"/>
      </patternFill>
    </fill>
    <fill>
      <patternFill patternType="solid">
        <fgColor rgb="FF94DCF9"/>
        <bgColor indexed="64"/>
      </patternFill>
    </fill>
    <fill>
      <patternFill patternType="solid">
        <fgColor theme="2" tint="-0.249977111117893"/>
        <bgColor indexed="64"/>
      </patternFill>
    </fill>
    <fill>
      <patternFill patternType="solid">
        <fgColor theme="0"/>
        <bgColor indexed="64"/>
      </patternFill>
    </fill>
  </fills>
  <borders count="5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thin">
        <color indexed="64"/>
      </top>
      <bottom style="medium">
        <color rgb="FF000000"/>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s>
  <cellStyleXfs count="3">
    <xf numFmtId="0" fontId="0" fillId="0" borderId="0"/>
    <xf numFmtId="44" fontId="11" fillId="0" borderId="0" applyFont="0" applyFill="0" applyBorder="0" applyAlignment="0" applyProtection="0"/>
    <xf numFmtId="9" fontId="11" fillId="0" borderId="0" applyFont="0" applyFill="0" applyBorder="0" applyAlignment="0" applyProtection="0"/>
  </cellStyleXfs>
  <cellXfs count="229">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5" xfId="0" applyBorder="1" applyAlignment="1">
      <alignment horizontal="center" vertical="center"/>
    </xf>
    <xf numFmtId="0" fontId="6" fillId="0" borderId="1" xfId="0" applyFont="1" applyBorder="1" applyAlignment="1">
      <alignment horizontal="center" vertical="center"/>
    </xf>
    <xf numFmtId="1" fontId="0" fillId="0" borderId="0" xfId="0" applyNumberFormat="1" applyAlignment="1">
      <alignment horizontal="center" vertical="center"/>
    </xf>
    <xf numFmtId="0" fontId="0" fillId="0" borderId="0" xfId="0" applyAlignment="1">
      <alignment vertical="center"/>
    </xf>
    <xf numFmtId="0" fontId="2" fillId="0" borderId="1" xfId="0" applyFont="1" applyBorder="1" applyAlignment="1">
      <alignment horizontal="center"/>
    </xf>
    <xf numFmtId="0" fontId="1" fillId="0" borderId="14" xfId="0" applyFont="1" applyBorder="1" applyAlignment="1">
      <alignment horizontal="center"/>
    </xf>
    <xf numFmtId="4" fontId="0" fillId="0" borderId="0" xfId="0" applyNumberFormat="1"/>
    <xf numFmtId="166" fontId="0" fillId="0" borderId="0" xfId="0" applyNumberFormat="1"/>
    <xf numFmtId="10" fontId="0" fillId="0" borderId="0" xfId="0" applyNumberFormat="1"/>
    <xf numFmtId="0" fontId="10" fillId="0" borderId="24" xfId="0" applyFont="1" applyBorder="1" applyAlignment="1">
      <alignment horizontal="center"/>
    </xf>
    <xf numFmtId="0" fontId="13" fillId="5" borderId="14" xfId="0" applyFont="1" applyFill="1" applyBorder="1" applyAlignment="1">
      <alignment horizontal="center" vertical="center"/>
    </xf>
    <xf numFmtId="0" fontId="13" fillId="5" borderId="15" xfId="0" applyFont="1" applyFill="1" applyBorder="1" applyAlignment="1">
      <alignment horizontal="center" vertical="center"/>
    </xf>
    <xf numFmtId="165" fontId="0" fillId="0" borderId="11" xfId="0" applyNumberFormat="1" applyBorder="1" applyAlignment="1">
      <alignment horizontal="center" vertical="center"/>
    </xf>
    <xf numFmtId="0" fontId="3" fillId="0" borderId="16" xfId="0" applyFont="1" applyBorder="1" applyAlignment="1">
      <alignment horizontal="center"/>
    </xf>
    <xf numFmtId="0" fontId="3" fillId="0" borderId="12" xfId="0" applyFont="1" applyBorder="1" applyAlignment="1">
      <alignment horizontal="center"/>
    </xf>
    <xf numFmtId="0" fontId="3" fillId="0" borderId="23" xfId="0" applyFont="1" applyBorder="1" applyAlignment="1">
      <alignment horizontal="center"/>
    </xf>
    <xf numFmtId="0" fontId="3" fillId="0" borderId="24" xfId="0" applyFont="1" applyBorder="1" applyAlignment="1">
      <alignment horizontal="center"/>
    </xf>
    <xf numFmtId="0" fontId="3" fillId="0" borderId="17" xfId="0" applyFont="1" applyBorder="1" applyAlignment="1">
      <alignment horizontal="center"/>
    </xf>
    <xf numFmtId="0" fontId="3" fillId="0" borderId="19" xfId="0" applyFont="1" applyBorder="1" applyAlignment="1">
      <alignment horizontal="center"/>
    </xf>
    <xf numFmtId="0" fontId="2" fillId="0" borderId="15" xfId="0" applyFont="1" applyBorder="1" applyAlignment="1">
      <alignment horizontal="center"/>
    </xf>
    <xf numFmtId="0" fontId="0" fillId="0" borderId="23" xfId="0" applyBorder="1" applyAlignment="1">
      <alignment horizontal="center" vertical="center"/>
    </xf>
    <xf numFmtId="0" fontId="0" fillId="0" borderId="7" xfId="0" applyBorder="1" applyAlignment="1">
      <alignment horizontal="center" vertical="center"/>
    </xf>
    <xf numFmtId="0" fontId="3" fillId="0" borderId="1" xfId="0" applyFont="1" applyBorder="1" applyAlignment="1">
      <alignment horizontal="center"/>
    </xf>
    <xf numFmtId="0" fontId="3" fillId="0" borderId="32" xfId="0" applyFont="1" applyBorder="1" applyAlignment="1">
      <alignment horizontal="center"/>
    </xf>
    <xf numFmtId="0" fontId="13" fillId="5" borderId="1" xfId="0" applyFont="1" applyFill="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18" xfId="0" applyBorder="1" applyAlignment="1">
      <alignment horizontal="center" vertical="center"/>
    </xf>
    <xf numFmtId="0" fontId="0" fillId="0" borderId="22" xfId="0" applyBorder="1" applyAlignment="1">
      <alignment horizontal="center" vertical="center"/>
    </xf>
    <xf numFmtId="0" fontId="0" fillId="4" borderId="6" xfId="0" applyFill="1" applyBorder="1" applyAlignment="1">
      <alignment horizontal="center" vertical="center"/>
    </xf>
    <xf numFmtId="0" fontId="0" fillId="4" borderId="0" xfId="0" applyFill="1" applyAlignment="1">
      <alignment horizontal="center" vertical="center"/>
    </xf>
    <xf numFmtId="0" fontId="0" fillId="4" borderId="21" xfId="0" applyFill="1" applyBorder="1" applyAlignment="1">
      <alignment horizontal="center" vertical="center"/>
    </xf>
    <xf numFmtId="0" fontId="0" fillId="4" borderId="20" xfId="0" applyFill="1" applyBorder="1" applyAlignment="1">
      <alignment horizontal="center" vertical="center"/>
    </xf>
    <xf numFmtId="0" fontId="0" fillId="11" borderId="39" xfId="0" applyFill="1" applyBorder="1" applyAlignment="1">
      <alignment horizontal="center" vertical="center"/>
    </xf>
    <xf numFmtId="0" fontId="0" fillId="11" borderId="40" xfId="0" applyFill="1" applyBorder="1" applyAlignment="1">
      <alignment horizontal="center" vertical="center"/>
    </xf>
    <xf numFmtId="0" fontId="0" fillId="4" borderId="22" xfId="0" applyFill="1" applyBorder="1" applyAlignment="1">
      <alignment horizontal="center" vertical="center"/>
    </xf>
    <xf numFmtId="0" fontId="0" fillId="0" borderId="6" xfId="0" applyBorder="1" applyAlignment="1">
      <alignment horizontal="center" vertical="center"/>
    </xf>
    <xf numFmtId="0" fontId="0" fillId="0" borderId="21" xfId="0" applyBorder="1" applyAlignment="1">
      <alignment horizontal="center" vertical="center"/>
    </xf>
    <xf numFmtId="0" fontId="0" fillId="4" borderId="18" xfId="0" applyFill="1" applyBorder="1" applyAlignment="1">
      <alignment horizontal="center" vertical="center"/>
    </xf>
    <xf numFmtId="0" fontId="12" fillId="6" borderId="22" xfId="0" applyFont="1" applyFill="1" applyBorder="1" applyAlignment="1">
      <alignment horizontal="center" vertical="center"/>
    </xf>
    <xf numFmtId="0" fontId="12" fillId="6" borderId="33" xfId="0" applyFont="1" applyFill="1" applyBorder="1" applyAlignment="1">
      <alignment horizontal="center" vertical="center"/>
    </xf>
    <xf numFmtId="0" fontId="12" fillId="6" borderId="18" xfId="0" applyFont="1" applyFill="1" applyBorder="1" applyAlignment="1">
      <alignment horizontal="center" vertical="center"/>
    </xf>
    <xf numFmtId="0" fontId="0" fillId="7" borderId="38" xfId="0" applyFill="1" applyBorder="1" applyAlignment="1">
      <alignment horizontal="center" vertical="center"/>
    </xf>
    <xf numFmtId="0" fontId="0" fillId="7" borderId="42" xfId="0" applyFill="1" applyBorder="1" applyAlignment="1">
      <alignment horizontal="center" vertical="center"/>
    </xf>
    <xf numFmtId="0" fontId="0" fillId="7" borderId="39" xfId="0" applyFill="1" applyBorder="1" applyAlignment="1">
      <alignment horizontal="center" vertical="center"/>
    </xf>
    <xf numFmtId="0" fontId="0" fillId="7" borderId="44" xfId="0" applyFill="1" applyBorder="1" applyAlignment="1">
      <alignment horizontal="center" vertical="center"/>
    </xf>
    <xf numFmtId="0" fontId="0" fillId="7" borderId="40" xfId="0" applyFill="1" applyBorder="1" applyAlignment="1">
      <alignment horizontal="center" vertical="center"/>
    </xf>
    <xf numFmtId="169" fontId="0" fillId="0" borderId="0" xfId="0" applyNumberFormat="1" applyAlignment="1">
      <alignment horizontal="center" vertical="center"/>
    </xf>
    <xf numFmtId="0" fontId="0" fillId="11" borderId="33" xfId="0" applyFill="1" applyBorder="1" applyAlignment="1">
      <alignment horizontal="center" vertical="center"/>
    </xf>
    <xf numFmtId="164" fontId="0" fillId="0" borderId="0" xfId="0" applyNumberFormat="1" applyAlignment="1">
      <alignment horizontal="center" vertical="center"/>
    </xf>
    <xf numFmtId="0" fontId="15" fillId="0" borderId="0" xfId="0" applyFont="1" applyAlignment="1">
      <alignment horizontal="center" vertical="center"/>
    </xf>
    <xf numFmtId="14" fontId="0" fillId="0" borderId="0" xfId="0" applyNumberFormat="1" applyAlignment="1">
      <alignment horizontal="center" vertical="center"/>
    </xf>
    <xf numFmtId="0" fontId="0" fillId="0" borderId="1" xfId="0" applyBorder="1" applyAlignment="1">
      <alignment horizontal="center" vertical="center"/>
    </xf>
    <xf numFmtId="167" fontId="0" fillId="7" borderId="39" xfId="0" applyNumberFormat="1" applyFill="1" applyBorder="1" applyAlignment="1">
      <alignment horizontal="center" vertical="center"/>
    </xf>
    <xf numFmtId="167" fontId="0" fillId="0" borderId="0" xfId="0" applyNumberFormat="1" applyAlignment="1">
      <alignment horizontal="center" vertical="center"/>
    </xf>
    <xf numFmtId="44" fontId="0" fillId="11" borderId="46" xfId="0" applyNumberFormat="1" applyFill="1" applyBorder="1" applyAlignment="1">
      <alignment horizontal="center" vertical="center"/>
    </xf>
    <xf numFmtId="44" fontId="0" fillId="11" borderId="43" xfId="0" applyNumberFormat="1" applyFill="1" applyBorder="1" applyAlignment="1">
      <alignment horizontal="center" vertical="center"/>
    </xf>
    <xf numFmtId="168" fontId="13" fillId="9" borderId="15" xfId="0" applyNumberFormat="1" applyFont="1" applyFill="1" applyBorder="1" applyAlignment="1">
      <alignment horizontal="center" vertical="center"/>
    </xf>
    <xf numFmtId="44" fontId="0" fillId="11" borderId="18" xfId="0" applyNumberFormat="1" applyFill="1" applyBorder="1" applyAlignment="1">
      <alignment horizontal="center" vertical="center"/>
    </xf>
    <xf numFmtId="0" fontId="0" fillId="12" borderId="46" xfId="0" applyFill="1" applyBorder="1" applyAlignment="1">
      <alignment horizontal="center" vertical="center"/>
    </xf>
    <xf numFmtId="167" fontId="0" fillId="12" borderId="43" xfId="0" applyNumberFormat="1" applyFill="1" applyBorder="1" applyAlignment="1">
      <alignment horizontal="center" vertical="center"/>
    </xf>
    <xf numFmtId="0" fontId="0" fillId="12" borderId="47" xfId="0" applyFill="1" applyBorder="1" applyAlignment="1">
      <alignment horizontal="center" vertical="center"/>
    </xf>
    <xf numFmtId="0" fontId="0" fillId="12" borderId="44" xfId="0" applyFill="1" applyBorder="1" applyAlignment="1">
      <alignment horizontal="center" vertical="center"/>
    </xf>
    <xf numFmtId="0" fontId="0" fillId="13" borderId="39" xfId="0" applyFill="1" applyBorder="1" applyAlignment="1">
      <alignment horizontal="center" vertical="center"/>
    </xf>
    <xf numFmtId="0" fontId="0" fillId="13" borderId="40" xfId="0" applyFill="1" applyBorder="1" applyAlignment="1">
      <alignment horizontal="center" vertical="center"/>
    </xf>
    <xf numFmtId="0" fontId="0" fillId="13" borderId="41" xfId="0" applyFill="1" applyBorder="1" applyAlignment="1">
      <alignment horizontal="center" vertical="center"/>
    </xf>
    <xf numFmtId="0" fontId="0" fillId="12" borderId="51" xfId="0" applyFill="1" applyBorder="1" applyAlignment="1">
      <alignment horizontal="center" vertical="center"/>
    </xf>
    <xf numFmtId="0" fontId="0" fillId="12" borderId="45" xfId="0" applyFill="1" applyBorder="1" applyAlignment="1">
      <alignment horizontal="center" vertical="center"/>
    </xf>
    <xf numFmtId="0" fontId="0" fillId="11" borderId="42" xfId="0" applyFill="1" applyBorder="1" applyAlignment="1">
      <alignment horizontal="center" vertical="center"/>
    </xf>
    <xf numFmtId="0" fontId="0" fillId="11" borderId="41" xfId="0" applyFill="1" applyBorder="1" applyAlignment="1">
      <alignment horizontal="center" vertical="center"/>
    </xf>
    <xf numFmtId="165" fontId="0" fillId="0" borderId="29" xfId="0" applyNumberFormat="1" applyBorder="1" applyAlignment="1">
      <alignment horizontal="center" vertical="center"/>
    </xf>
    <xf numFmtId="165" fontId="0" fillId="0" borderId="26" xfId="0" applyNumberFormat="1" applyBorder="1" applyAlignment="1">
      <alignment horizontal="center" vertical="center"/>
    </xf>
    <xf numFmtId="2" fontId="3" fillId="0" borderId="31" xfId="0" applyNumberFormat="1" applyFont="1" applyBorder="1" applyAlignment="1">
      <alignment horizontal="center"/>
    </xf>
    <xf numFmtId="2" fontId="3" fillId="0" borderId="52" xfId="0" applyNumberFormat="1" applyFont="1" applyBorder="1" applyAlignment="1">
      <alignment horizontal="center"/>
    </xf>
    <xf numFmtId="164" fontId="0" fillId="0" borderId="30" xfId="0" applyNumberFormat="1" applyBorder="1" applyAlignment="1">
      <alignment horizontal="center" vertical="center"/>
    </xf>
    <xf numFmtId="164" fontId="0" fillId="0" borderId="27" xfId="0" applyNumberFormat="1" applyBorder="1" applyAlignment="1">
      <alignment horizontal="center" vertical="center"/>
    </xf>
    <xf numFmtId="164" fontId="0" fillId="0" borderId="34" xfId="0" applyNumberFormat="1" applyBorder="1" applyAlignment="1">
      <alignment horizontal="center" vertical="center"/>
    </xf>
    <xf numFmtId="0" fontId="0" fillId="15" borderId="42" xfId="0" applyFill="1" applyBorder="1" applyAlignment="1">
      <alignment horizontal="center"/>
    </xf>
    <xf numFmtId="0" fontId="14" fillId="8" borderId="40" xfId="0" applyFont="1" applyFill="1" applyBorder="1" applyAlignment="1">
      <alignment horizontal="center"/>
    </xf>
    <xf numFmtId="0" fontId="14" fillId="14" borderId="40" xfId="0" applyFont="1" applyFill="1" applyBorder="1" applyAlignment="1">
      <alignment horizontal="center"/>
    </xf>
    <xf numFmtId="0" fontId="14" fillId="8" borderId="41" xfId="0" applyFont="1" applyFill="1" applyBorder="1" applyAlignment="1">
      <alignment horizontal="center"/>
    </xf>
    <xf numFmtId="0" fontId="3" fillId="0" borderId="28" xfId="0" applyFont="1" applyBorder="1" applyAlignment="1">
      <alignment horizontal="center"/>
    </xf>
    <xf numFmtId="0" fontId="3" fillId="0" borderId="26" xfId="0" applyFont="1" applyBorder="1" applyAlignment="1">
      <alignment horizontal="center"/>
    </xf>
    <xf numFmtId="0" fontId="3" fillId="0" borderId="54" xfId="0" applyFont="1" applyBorder="1" applyAlignment="1">
      <alignment horizontal="center"/>
    </xf>
    <xf numFmtId="0" fontId="1" fillId="0" borderId="55" xfId="0" applyFont="1" applyBorder="1" applyAlignment="1">
      <alignment horizontal="center"/>
    </xf>
    <xf numFmtId="0" fontId="1" fillId="0" borderId="50" xfId="0" applyFont="1" applyBorder="1" applyAlignment="1">
      <alignment horizontal="center"/>
    </xf>
    <xf numFmtId="0" fontId="10" fillId="0" borderId="36" xfId="0" applyFont="1" applyBorder="1" applyAlignment="1">
      <alignment horizontal="center"/>
    </xf>
    <xf numFmtId="0" fontId="10" fillId="0" borderId="37" xfId="0" applyFont="1" applyBorder="1" applyAlignment="1">
      <alignment horizontal="center"/>
    </xf>
    <xf numFmtId="0" fontId="10" fillId="0" borderId="35" xfId="0" applyFont="1" applyBorder="1" applyAlignment="1">
      <alignment horizontal="center"/>
    </xf>
    <xf numFmtId="0" fontId="10" fillId="0" borderId="17" xfId="0" applyFont="1" applyBorder="1" applyAlignment="1">
      <alignment horizontal="center"/>
    </xf>
    <xf numFmtId="0" fontId="10" fillId="0" borderId="25" xfId="0" applyFont="1" applyBorder="1" applyAlignment="1">
      <alignment horizontal="center"/>
    </xf>
    <xf numFmtId="0" fontId="10" fillId="0" borderId="56" xfId="0" applyFont="1" applyBorder="1" applyAlignment="1">
      <alignment horizontal="center"/>
    </xf>
    <xf numFmtId="0" fontId="10" fillId="0" borderId="26" xfId="0" applyFont="1" applyBorder="1" applyAlignment="1">
      <alignment horizontal="center"/>
    </xf>
    <xf numFmtId="0" fontId="10" fillId="0" borderId="54" xfId="0" applyFont="1" applyBorder="1" applyAlignment="1">
      <alignment horizontal="center"/>
    </xf>
    <xf numFmtId="0" fontId="2" fillId="0" borderId="0" xfId="0" applyFont="1"/>
    <xf numFmtId="165" fontId="10" fillId="0" borderId="17" xfId="0" applyNumberFormat="1" applyFont="1" applyBorder="1" applyAlignment="1">
      <alignment horizontal="center"/>
    </xf>
    <xf numFmtId="165" fontId="10" fillId="0" borderId="36" xfId="0" applyNumberFormat="1" applyFont="1" applyBorder="1" applyAlignment="1">
      <alignment horizontal="center"/>
    </xf>
    <xf numFmtId="165" fontId="10" fillId="0" borderId="24" xfId="0" applyNumberFormat="1" applyFont="1" applyBorder="1" applyAlignment="1">
      <alignment horizontal="center"/>
    </xf>
    <xf numFmtId="0" fontId="12" fillId="2" borderId="2" xfId="0" applyFont="1" applyFill="1" applyBorder="1" applyAlignment="1">
      <alignment horizontal="center" vertical="center"/>
    </xf>
    <xf numFmtId="0" fontId="12" fillId="2" borderId="4" xfId="0" applyFont="1" applyFill="1" applyBorder="1" applyAlignment="1">
      <alignment horizontal="center" vertical="center"/>
    </xf>
    <xf numFmtId="165"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2" fillId="0" borderId="1" xfId="0" applyFont="1" applyBorder="1"/>
    <xf numFmtId="0" fontId="0" fillId="16" borderId="0" xfId="0" applyFill="1" applyAlignment="1">
      <alignment horizontal="center" vertical="center"/>
    </xf>
    <xf numFmtId="0" fontId="14" fillId="0" borderId="53" xfId="0" applyFont="1" applyBorder="1" applyAlignment="1">
      <alignment horizontal="center"/>
    </xf>
    <xf numFmtId="0" fontId="3" fillId="3" borderId="2" xfId="0" applyFont="1" applyFill="1" applyBorder="1" applyAlignment="1">
      <alignment horizontal="left" vertical="top" wrapText="1"/>
    </xf>
    <xf numFmtId="0" fontId="0" fillId="3" borderId="3" xfId="0" applyFill="1" applyBorder="1" applyAlignment="1">
      <alignment horizontal="left" vertical="top"/>
    </xf>
    <xf numFmtId="0" fontId="0" fillId="3" borderId="4" xfId="0" applyFill="1" applyBorder="1" applyAlignment="1">
      <alignment horizontal="left" vertical="top"/>
    </xf>
    <xf numFmtId="0" fontId="0" fillId="3" borderId="6" xfId="0" applyFill="1" applyBorder="1" applyAlignment="1">
      <alignment horizontal="left" vertical="top"/>
    </xf>
    <xf numFmtId="0" fontId="0" fillId="3" borderId="0" xfId="0" applyFill="1" applyAlignment="1">
      <alignment horizontal="left" vertical="top"/>
    </xf>
    <xf numFmtId="0" fontId="0" fillId="3" borderId="21" xfId="0" applyFill="1" applyBorder="1" applyAlignment="1">
      <alignment horizontal="left" vertical="top"/>
    </xf>
    <xf numFmtId="0" fontId="0" fillId="3" borderId="18" xfId="0" applyFill="1" applyBorder="1" applyAlignment="1">
      <alignment horizontal="left" vertical="top"/>
    </xf>
    <xf numFmtId="0" fontId="0" fillId="3" borderId="20" xfId="0" applyFill="1" applyBorder="1" applyAlignment="1">
      <alignment horizontal="left" vertical="top"/>
    </xf>
    <xf numFmtId="0" fontId="0" fillId="3" borderId="22" xfId="0" applyFill="1" applyBorder="1" applyAlignment="1">
      <alignment horizontal="left" vertical="top"/>
    </xf>
    <xf numFmtId="0" fontId="0" fillId="0" borderId="0" xfId="0" applyAlignment="1">
      <alignment horizontal="center" vertical="center"/>
    </xf>
    <xf numFmtId="0" fontId="0" fillId="0" borderId="20" xfId="0" applyBorder="1" applyAlignment="1">
      <alignment horizontal="center" vertical="center"/>
    </xf>
    <xf numFmtId="0" fontId="4" fillId="0" borderId="0" xfId="0" applyFont="1" applyAlignment="1">
      <alignment horizontal="center" vertical="center"/>
    </xf>
    <xf numFmtId="0" fontId="4" fillId="0" borderId="21" xfId="0" applyFont="1" applyBorder="1" applyAlignment="1">
      <alignment horizontal="center" vertical="center"/>
    </xf>
    <xf numFmtId="0" fontId="4" fillId="0" borderId="20" xfId="0" applyFont="1" applyBorder="1" applyAlignment="1">
      <alignment horizontal="center" vertical="center"/>
    </xf>
    <xf numFmtId="0" fontId="4" fillId="0" borderId="22" xfId="0" applyFont="1" applyBorder="1" applyAlignment="1">
      <alignment horizontal="center" vertical="center"/>
    </xf>
    <xf numFmtId="0" fontId="25" fillId="2" borderId="2" xfId="0" applyFont="1" applyFill="1" applyBorder="1" applyAlignment="1">
      <alignment horizontal="center" vertical="center"/>
    </xf>
    <xf numFmtId="0" fontId="25" fillId="2" borderId="3" xfId="0" applyFont="1" applyFill="1" applyBorder="1" applyAlignment="1">
      <alignment horizontal="center" vertical="center"/>
    </xf>
    <xf numFmtId="0" fontId="25" fillId="2" borderId="4" xfId="0" applyFont="1" applyFill="1" applyBorder="1" applyAlignment="1">
      <alignment horizontal="center" vertical="center"/>
    </xf>
    <xf numFmtId="0" fontId="25" fillId="2" borderId="6" xfId="0" applyFont="1" applyFill="1" applyBorder="1" applyAlignment="1">
      <alignment horizontal="center" vertical="center"/>
    </xf>
    <xf numFmtId="0" fontId="25" fillId="2" borderId="0" xfId="0" applyFont="1" applyFill="1" applyAlignment="1">
      <alignment horizontal="center" vertical="center"/>
    </xf>
    <xf numFmtId="0" fontId="25" fillId="2" borderId="21" xfId="0" applyFont="1" applyFill="1" applyBorder="1" applyAlignment="1">
      <alignment horizontal="center" vertical="center"/>
    </xf>
    <xf numFmtId="0" fontId="25" fillId="2" borderId="18" xfId="0" applyFont="1" applyFill="1" applyBorder="1" applyAlignment="1">
      <alignment horizontal="center" vertical="center"/>
    </xf>
    <xf numFmtId="0" fontId="25" fillId="2" borderId="20" xfId="0" applyFont="1" applyFill="1" applyBorder="1" applyAlignment="1">
      <alignment horizontal="center" vertical="center"/>
    </xf>
    <xf numFmtId="0" fontId="25" fillId="2" borderId="22" xfId="0" applyFont="1" applyFill="1" applyBorder="1" applyAlignment="1">
      <alignment horizontal="center" vertical="center"/>
    </xf>
    <xf numFmtId="0" fontId="7" fillId="2" borderId="8"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0"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8" fillId="2" borderId="3" xfId="0" applyFont="1" applyFill="1" applyBorder="1" applyAlignment="1">
      <alignment horizontal="center" vertical="center"/>
    </xf>
    <xf numFmtId="0" fontId="0" fillId="16" borderId="6" xfId="0" applyFill="1" applyBorder="1" applyAlignment="1">
      <alignment horizontal="center" vertical="center"/>
    </xf>
    <xf numFmtId="0" fontId="0" fillId="16" borderId="0" xfId="0" applyFill="1" applyAlignment="1">
      <alignment horizontal="center" vertical="center"/>
    </xf>
    <xf numFmtId="0" fontId="0" fillId="16" borderId="20" xfId="0" applyFill="1" applyBorder="1" applyAlignment="1">
      <alignment horizontal="center" vertical="center"/>
    </xf>
    <xf numFmtId="0" fontId="0" fillId="16" borderId="22" xfId="0" applyFill="1" applyBorder="1" applyAlignment="1">
      <alignment horizontal="center" vertical="center"/>
    </xf>
    <xf numFmtId="0" fontId="5" fillId="0" borderId="6" xfId="0" applyFont="1" applyBorder="1" applyAlignment="1">
      <alignment horizontal="center" vertical="center"/>
    </xf>
    <xf numFmtId="0" fontId="5" fillId="0" borderId="0" xfId="0" applyFont="1" applyAlignment="1">
      <alignment horizontal="center" vertical="center"/>
    </xf>
    <xf numFmtId="0" fontId="5" fillId="16" borderId="6" xfId="0" applyFont="1" applyFill="1" applyBorder="1" applyAlignment="1">
      <alignment horizontal="center" vertical="center"/>
    </xf>
    <xf numFmtId="0" fontId="5" fillId="16" borderId="0" xfId="0" applyFont="1" applyFill="1" applyAlignment="1">
      <alignment horizontal="center" vertical="center"/>
    </xf>
    <xf numFmtId="0" fontId="0" fillId="16" borderId="3" xfId="0" applyFill="1" applyBorder="1" applyAlignment="1">
      <alignment horizontal="center" vertical="center"/>
    </xf>
    <xf numFmtId="0" fontId="0" fillId="16" borderId="4" xfId="0"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wrapText="1"/>
    </xf>
    <xf numFmtId="0" fontId="5" fillId="16" borderId="18"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21" xfId="0" applyFill="1" applyBorder="1" applyAlignment="1">
      <alignment horizontal="center" vertical="center"/>
    </xf>
    <xf numFmtId="10" fontId="0" fillId="17" borderId="14" xfId="2" applyNumberFormat="1" applyFont="1" applyFill="1" applyBorder="1" applyAlignment="1">
      <alignment horizontal="center" vertical="center"/>
    </xf>
    <xf numFmtId="10" fontId="0" fillId="17" borderId="15" xfId="2" applyNumberFormat="1" applyFont="1" applyFill="1" applyBorder="1" applyAlignment="1">
      <alignment horizontal="center" vertical="center"/>
    </xf>
    <xf numFmtId="0" fontId="19" fillId="5" borderId="2" xfId="0" applyFont="1" applyFill="1" applyBorder="1" applyAlignment="1">
      <alignment horizontal="center" vertical="center"/>
    </xf>
    <xf numFmtId="0" fontId="19" fillId="5" borderId="3" xfId="0" applyFont="1" applyFill="1" applyBorder="1" applyAlignment="1">
      <alignment horizontal="center" vertical="center"/>
    </xf>
    <xf numFmtId="0" fontId="19" fillId="5" borderId="6" xfId="0" applyFont="1" applyFill="1" applyBorder="1" applyAlignment="1">
      <alignment horizontal="center" vertical="center"/>
    </xf>
    <xf numFmtId="0" fontId="19" fillId="5" borderId="0" xfId="0" applyFont="1" applyFill="1" applyAlignment="1">
      <alignment horizontal="center" vertical="center"/>
    </xf>
    <xf numFmtId="0" fontId="0" fillId="17" borderId="6" xfId="0" applyFill="1" applyBorder="1" applyAlignment="1">
      <alignment horizontal="center" vertical="center"/>
    </xf>
    <xf numFmtId="0" fontId="0" fillId="17" borderId="0" xfId="0" applyFill="1" applyAlignment="1">
      <alignment horizontal="center" vertical="center"/>
    </xf>
    <xf numFmtId="0" fontId="0" fillId="17" borderId="18" xfId="0" applyFill="1" applyBorder="1" applyAlignment="1">
      <alignment horizontal="center" vertical="center"/>
    </xf>
    <xf numFmtId="0" fontId="0" fillId="17" borderId="20" xfId="0" applyFill="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13" fillId="5" borderId="14" xfId="0" applyFont="1" applyFill="1" applyBorder="1" applyAlignment="1">
      <alignment horizontal="center" vertical="center"/>
    </xf>
    <xf numFmtId="0" fontId="13" fillId="5" borderId="15" xfId="0" applyFont="1" applyFill="1" applyBorder="1" applyAlignment="1">
      <alignment horizontal="center" vertical="center"/>
    </xf>
    <xf numFmtId="0" fontId="13" fillId="5" borderId="6" xfId="0" applyFont="1" applyFill="1" applyBorder="1" applyAlignment="1">
      <alignment horizontal="center" vertical="center"/>
    </xf>
    <xf numFmtId="0" fontId="13" fillId="5" borderId="21" xfId="0" applyFont="1" applyFill="1" applyBorder="1" applyAlignment="1">
      <alignment horizontal="center" vertical="center"/>
    </xf>
    <xf numFmtId="168" fontId="0" fillId="0" borderId="14" xfId="0" applyNumberFormat="1" applyBorder="1" applyAlignment="1">
      <alignment horizontal="center" vertical="center"/>
    </xf>
    <xf numFmtId="168" fontId="0" fillId="0" borderId="15" xfId="0" applyNumberFormat="1" applyBorder="1" applyAlignment="1">
      <alignment horizontal="center" vertical="center"/>
    </xf>
    <xf numFmtId="0" fontId="13" fillId="5" borderId="48" xfId="0" applyFont="1" applyFill="1" applyBorder="1" applyAlignment="1">
      <alignment horizontal="center" vertical="center"/>
    </xf>
    <xf numFmtId="0" fontId="13" fillId="5" borderId="49" xfId="0" applyFont="1" applyFill="1" applyBorder="1" applyAlignment="1">
      <alignment horizontal="center" vertical="center"/>
    </xf>
    <xf numFmtId="0" fontId="13" fillId="5" borderId="50" xfId="0" applyFont="1" applyFill="1" applyBorder="1" applyAlignment="1">
      <alignment horizontal="center" vertical="center"/>
    </xf>
    <xf numFmtId="0" fontId="13" fillId="9" borderId="14" xfId="0" applyFont="1" applyFill="1" applyBorder="1" applyAlignment="1">
      <alignment horizontal="center" vertical="center"/>
    </xf>
    <xf numFmtId="0" fontId="13" fillId="9" borderId="15" xfId="0" applyFont="1" applyFill="1" applyBorder="1" applyAlignment="1">
      <alignment horizontal="center" vertical="center"/>
    </xf>
    <xf numFmtId="0" fontId="25" fillId="2" borderId="13" xfId="0" applyFont="1" applyFill="1" applyBorder="1" applyAlignment="1">
      <alignment horizontal="center" vertical="center" textRotation="90" wrapText="1"/>
    </xf>
    <xf numFmtId="0" fontId="25" fillId="2" borderId="32" xfId="0" applyFont="1" applyFill="1" applyBorder="1" applyAlignment="1">
      <alignment horizontal="center" vertical="center" textRotation="90"/>
    </xf>
    <xf numFmtId="0" fontId="25" fillId="2" borderId="33" xfId="0" applyFont="1" applyFill="1" applyBorder="1" applyAlignment="1">
      <alignment horizontal="center" vertical="center" textRotation="90"/>
    </xf>
    <xf numFmtId="0" fontId="0" fillId="4" borderId="20"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19" fillId="5" borderId="4" xfId="0" applyFont="1" applyFill="1" applyBorder="1" applyAlignment="1">
      <alignment horizontal="center" vertical="center"/>
    </xf>
    <xf numFmtId="0" fontId="19" fillId="5" borderId="18" xfId="0" applyFont="1" applyFill="1" applyBorder="1" applyAlignment="1">
      <alignment horizontal="center" vertical="center"/>
    </xf>
    <xf numFmtId="0" fontId="19" fillId="5" borderId="22" xfId="0" applyFont="1" applyFill="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18" xfId="0" applyBorder="1" applyAlignment="1">
      <alignment horizontal="center" vertical="center"/>
    </xf>
    <xf numFmtId="0" fontId="0" fillId="0" borderId="22" xfId="0" applyBorder="1" applyAlignment="1">
      <alignment horizontal="center" vertical="center"/>
    </xf>
    <xf numFmtId="0" fontId="20" fillId="9" borderId="14" xfId="0" applyFont="1" applyFill="1" applyBorder="1" applyAlignment="1">
      <alignment horizontal="center" vertical="center"/>
    </xf>
    <xf numFmtId="0" fontId="0" fillId="9" borderId="15" xfId="0" applyFill="1" applyBorder="1" applyAlignment="1">
      <alignment horizontal="center" vertical="center"/>
    </xf>
    <xf numFmtId="165" fontId="0" fillId="0" borderId="2" xfId="1" applyNumberFormat="1" applyFont="1" applyBorder="1" applyAlignment="1">
      <alignment horizontal="center" vertical="center"/>
    </xf>
    <xf numFmtId="165" fontId="0" fillId="0" borderId="4" xfId="1" applyNumberFormat="1" applyFont="1" applyBorder="1" applyAlignment="1">
      <alignment horizontal="center" vertical="center"/>
    </xf>
    <xf numFmtId="165" fontId="0" fillId="0" borderId="18" xfId="1" applyNumberFormat="1" applyFont="1" applyBorder="1" applyAlignment="1">
      <alignment horizontal="center" vertical="center"/>
    </xf>
    <xf numFmtId="165" fontId="0" fillId="0" borderId="22" xfId="1" applyNumberFormat="1" applyFont="1" applyBorder="1" applyAlignment="1">
      <alignment horizontal="center" vertical="center"/>
    </xf>
    <xf numFmtId="0" fontId="21"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2" fillId="2" borderId="4" xfId="0" applyFont="1" applyFill="1" applyBorder="1" applyAlignment="1">
      <alignment horizontal="center" vertical="center"/>
    </xf>
    <xf numFmtId="0" fontId="22" fillId="2" borderId="18" xfId="0" applyFont="1" applyFill="1" applyBorder="1" applyAlignment="1">
      <alignment horizontal="center" vertical="center"/>
    </xf>
    <xf numFmtId="0" fontId="22" fillId="2" borderId="20" xfId="0" applyFont="1" applyFill="1" applyBorder="1" applyAlignment="1">
      <alignment horizontal="center" vertical="center"/>
    </xf>
    <xf numFmtId="0" fontId="22" fillId="2" borderId="22" xfId="0" applyFont="1" applyFill="1" applyBorder="1" applyAlignment="1">
      <alignment horizontal="center" vertical="center"/>
    </xf>
    <xf numFmtId="0" fontId="19" fillId="10" borderId="2" xfId="0" applyFont="1" applyFill="1" applyBorder="1" applyAlignment="1">
      <alignment horizontal="center" vertical="center"/>
    </xf>
    <xf numFmtId="0" fontId="19" fillId="10" borderId="4" xfId="0" applyFont="1" applyFill="1" applyBorder="1" applyAlignment="1">
      <alignment horizontal="center" vertical="center"/>
    </xf>
    <xf numFmtId="0" fontId="19" fillId="10" borderId="18" xfId="0" applyFont="1" applyFill="1" applyBorder="1" applyAlignment="1">
      <alignment horizontal="center" vertical="center"/>
    </xf>
    <xf numFmtId="0" fontId="19" fillId="10" borderId="22" xfId="0" applyFont="1" applyFill="1" applyBorder="1" applyAlignment="1">
      <alignment horizontal="center" vertical="center"/>
    </xf>
    <xf numFmtId="0" fontId="23" fillId="2" borderId="2" xfId="0" applyFont="1" applyFill="1" applyBorder="1" applyAlignment="1">
      <alignment horizontal="center" vertical="center"/>
    </xf>
    <xf numFmtId="0" fontId="24" fillId="2" borderId="3" xfId="0" applyFont="1" applyFill="1" applyBorder="1" applyAlignment="1">
      <alignment horizontal="center" vertical="center"/>
    </xf>
    <xf numFmtId="0" fontId="24" fillId="2" borderId="4" xfId="0" applyFont="1" applyFill="1" applyBorder="1" applyAlignment="1">
      <alignment horizontal="center" vertical="center"/>
    </xf>
    <xf numFmtId="0" fontId="24" fillId="2" borderId="6" xfId="0" applyFont="1" applyFill="1" applyBorder="1" applyAlignment="1">
      <alignment horizontal="center" vertical="center"/>
    </xf>
    <xf numFmtId="0" fontId="24" fillId="2" borderId="0" xfId="0" applyFont="1" applyFill="1" applyAlignment="1">
      <alignment horizontal="center" vertical="center"/>
    </xf>
    <xf numFmtId="0" fontId="24" fillId="2" borderId="21" xfId="0" applyFont="1" applyFill="1" applyBorder="1" applyAlignment="1">
      <alignment horizontal="center" vertical="center"/>
    </xf>
    <xf numFmtId="0" fontId="24" fillId="2" borderId="18" xfId="0" applyFont="1" applyFill="1" applyBorder="1" applyAlignment="1">
      <alignment horizontal="center" vertical="center"/>
    </xf>
    <xf numFmtId="0" fontId="24" fillId="2" borderId="20" xfId="0" applyFont="1" applyFill="1" applyBorder="1" applyAlignment="1">
      <alignment horizontal="center" vertical="center"/>
    </xf>
    <xf numFmtId="0" fontId="24" fillId="2" borderId="22" xfId="0" applyFont="1" applyFill="1" applyBorder="1" applyAlignment="1">
      <alignment horizontal="center" vertical="center"/>
    </xf>
    <xf numFmtId="0" fontId="16" fillId="5" borderId="2" xfId="0" quotePrefix="1" applyFont="1" applyFill="1" applyBorder="1" applyAlignment="1">
      <alignment horizontal="center" vertical="center"/>
    </xf>
    <xf numFmtId="0" fontId="16" fillId="5" borderId="4" xfId="0" applyFont="1" applyFill="1" applyBorder="1" applyAlignment="1">
      <alignment horizontal="center" vertical="center"/>
    </xf>
    <xf numFmtId="0" fontId="16" fillId="5" borderId="18" xfId="0" applyFont="1" applyFill="1" applyBorder="1" applyAlignment="1">
      <alignment horizontal="center" vertical="center"/>
    </xf>
    <xf numFmtId="0" fontId="16" fillId="5" borderId="22" xfId="0" applyFont="1" applyFill="1" applyBorder="1" applyAlignment="1">
      <alignment horizontal="center" vertical="center"/>
    </xf>
    <xf numFmtId="0" fontId="17" fillId="5" borderId="2" xfId="0" applyFont="1" applyFill="1" applyBorder="1" applyAlignment="1">
      <alignment horizontal="center" vertical="center"/>
    </xf>
    <xf numFmtId="0" fontId="18" fillId="5" borderId="4" xfId="0" applyFont="1" applyFill="1" applyBorder="1" applyAlignment="1">
      <alignment horizontal="center" vertical="center"/>
    </xf>
    <xf numFmtId="0" fontId="18" fillId="5" borderId="18" xfId="0" applyFont="1" applyFill="1" applyBorder="1" applyAlignment="1">
      <alignment horizontal="center" vertical="center"/>
    </xf>
    <xf numFmtId="0" fontId="18" fillId="5" borderId="22" xfId="0" applyFont="1" applyFill="1" applyBorder="1" applyAlignment="1">
      <alignment horizontal="center" vertical="center"/>
    </xf>
    <xf numFmtId="2" fontId="0" fillId="0" borderId="2" xfId="0" applyNumberFormat="1" applyBorder="1" applyAlignment="1">
      <alignment horizontal="center" vertical="center"/>
    </xf>
    <xf numFmtId="2" fontId="0" fillId="0" borderId="4" xfId="0" applyNumberFormat="1" applyBorder="1" applyAlignment="1">
      <alignment horizontal="center" vertical="center"/>
    </xf>
    <xf numFmtId="2" fontId="0" fillId="0" borderId="18" xfId="0" applyNumberFormat="1" applyBorder="1" applyAlignment="1">
      <alignment horizontal="center" vertical="center"/>
    </xf>
    <xf numFmtId="2" fontId="0" fillId="0" borderId="22" xfId="0" applyNumberFormat="1" applyBorder="1" applyAlignment="1">
      <alignment horizontal="center" vertical="center"/>
    </xf>
    <xf numFmtId="0" fontId="28" fillId="9" borderId="14" xfId="0" applyFont="1" applyFill="1" applyBorder="1" applyAlignment="1">
      <alignment horizontal="center" vertical="center"/>
    </xf>
    <xf numFmtId="0" fontId="28" fillId="9" borderId="15" xfId="0" applyFont="1" applyFill="1" applyBorder="1" applyAlignment="1">
      <alignment horizontal="center" vertical="center"/>
    </xf>
  </cellXfs>
  <cellStyles count="3">
    <cellStyle name="Currency" xfId="1" builtinId="4"/>
    <cellStyle name="Normal" xfId="0" builtinId="0"/>
    <cellStyle name="Percent" xfId="2" builtinId="5"/>
  </cellStyles>
  <dxfs count="78">
    <dxf>
      <font>
        <b val="0"/>
        <i val="0"/>
        <strike val="0"/>
        <condense val="0"/>
        <extend val="0"/>
        <outline val="0"/>
        <shadow val="0"/>
        <u val="none"/>
        <vertAlign val="baseline"/>
        <sz val="12"/>
        <color theme="1"/>
        <name val="Aptos Narrow"/>
        <family val="2"/>
        <scheme val="minor"/>
      </font>
      <numFmt numFmtId="167" formatCode="0.000000000"/>
      <fill>
        <patternFill patternType="solid">
          <fgColor theme="4" tint="0.79998168889431442"/>
          <bgColor theme="4" tint="0.79998168889431442"/>
        </patternFill>
      </fill>
      <alignment horizontal="center" vertical="center" indent="0" justifyLastLine="0" shrinkToFit="0" readingOrder="0"/>
      <border diagonalUp="0" diagonalDown="0">
        <left style="medium">
          <color indexed="64"/>
        </left>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0" formatCode="General"/>
      <fill>
        <patternFill patternType="solid">
          <fgColor theme="4" tint="0.79998168889431442"/>
          <bgColor theme="4" tint="0.79998168889431442"/>
        </patternFill>
      </fill>
      <alignment horizontal="center" vertical="center"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0" formatCode="General"/>
      <fill>
        <patternFill patternType="solid">
          <fgColor theme="4" tint="0.79998168889431442"/>
          <bgColor theme="4" tint="0.79998168889431442"/>
        </patternFill>
      </fill>
      <alignment horizontal="center" vertical="center"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0" formatCode="General"/>
      <fill>
        <patternFill patternType="solid">
          <fgColor theme="4" tint="0.79998168889431442"/>
          <bgColor theme="4" tint="0.79998168889431442"/>
        </patternFill>
      </fill>
      <alignment horizontal="center" vertical="center"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general"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0" formatCode="General"/>
      <fill>
        <patternFill patternType="solid">
          <fgColor theme="4" tint="0.79998168889431442"/>
          <bgColor theme="4" tint="0.79998168889431442"/>
        </patternFill>
      </fill>
      <alignment horizontal="center" vertical="center"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indent="0" justifyLastLine="0" shrinkToFit="0" readingOrder="0"/>
      <border diagonalUp="0" diagonalDown="0" outline="0">
        <left style="medium">
          <color indexed="64"/>
        </left>
        <right style="medium">
          <color indexed="64"/>
        </right>
        <top style="thin">
          <color indexed="64"/>
        </top>
        <bottom style="thin">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indent="0" justifyLastLine="0" shrinkToFit="0" readingOrder="0"/>
      <border diagonalUp="0" diagonalDown="0" outline="0">
        <left/>
        <right style="medium">
          <color indexed="64"/>
        </right>
        <top style="thin">
          <color indexed="64"/>
        </top>
        <bottom style="thin">
          <color indexed="64"/>
        </bottom>
      </border>
    </dxf>
    <dxf>
      <alignment horizontal="center" vertical="center"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indent="0" justifyLastLine="0" shrinkToFit="0" readingOrder="0"/>
    </dxf>
    <dxf>
      <border>
        <bottom style="medium">
          <color indexed="64"/>
        </bottom>
      </border>
    </dxf>
    <dxf>
      <font>
        <b/>
        <i val="0"/>
        <strike val="0"/>
        <condense val="0"/>
        <extend val="0"/>
        <outline val="0"/>
        <shadow val="0"/>
        <u val="none"/>
        <vertAlign val="baseline"/>
        <sz val="12"/>
        <color theme="0"/>
        <name val="Aptos Narrow"/>
        <family val="2"/>
        <scheme val="minor"/>
      </font>
      <fill>
        <patternFill patternType="solid">
          <fgColor theme="4"/>
          <bgColor theme="4"/>
        </patternFill>
      </fill>
      <alignment horizontal="center" vertical="center" indent="0" justifyLastLine="0" shrinkToFit="0" readingOrder="0"/>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outline="0">
        <left/>
        <right style="medium">
          <color indexed="64"/>
        </right>
        <top style="thin">
          <color indexed="64"/>
        </top>
        <bottom style="thin">
          <color indexed="64"/>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outline="0">
        <left style="medium">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2"/>
        <color theme="1"/>
        <name val="Aptos Narrow"/>
        <scheme val="minor"/>
      </font>
      <numFmt numFmtId="0" formatCode="General"/>
      <alignment horizontal="center" vertical="bottom" textRotation="0" wrapText="0" indent="0" justifyLastLine="0" shrinkToFit="0" readingOrder="0"/>
    </dxf>
    <dxf>
      <font>
        <b val="0"/>
        <strike val="0"/>
        <outline val="0"/>
        <shadow val="0"/>
        <u val="none"/>
        <vertAlign val="baseline"/>
        <sz val="12"/>
        <color theme="1"/>
        <name val="Aptos Narrow"/>
        <scheme val="minor"/>
      </font>
      <alignment horizontal="center" vertical="bottom" textRotation="0" wrapText="0" indent="0" justifyLastLine="0" shrinkToFit="0" readingOrder="0"/>
    </dxf>
    <dxf>
      <font>
        <b val="0"/>
        <strike val="0"/>
        <outline val="0"/>
        <shadow val="0"/>
        <u val="none"/>
        <vertAlign val="baseline"/>
        <sz val="12"/>
        <color theme="1"/>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scheme val="minor"/>
      </font>
      <alignment horizontal="center" vertical="bottom" textRotation="0" wrapText="0" indent="0" justifyLastLine="0" shrinkToFit="0" readingOrder="0"/>
    </dxf>
    <dxf>
      <font>
        <b val="0"/>
        <strike val="0"/>
        <outline val="0"/>
        <shadow val="0"/>
        <u val="none"/>
        <vertAlign val="baseline"/>
        <sz val="12"/>
        <color theme="1"/>
        <name val="Aptos Narrow"/>
        <scheme val="minor"/>
      </font>
      <alignment horizontal="center" vertical="bottom" textRotation="0" wrapText="0" indent="0" justifyLastLine="0" shrinkToFit="0" readingOrder="0"/>
      <border diagonalUp="0" diagonalDown="0">
        <left style="medium">
          <color indexed="64"/>
        </left>
        <right/>
        <top/>
        <bottom/>
      </border>
    </dxf>
    <dxf>
      <alignment horizontal="center" vertical="center" textRotation="0" wrapText="0" indent="0" justifyLastLine="0" shrinkToFit="0" readingOrder="0"/>
      <border diagonalUp="0" diagonalDown="0" outline="0">
        <left style="medium">
          <color indexed="64"/>
        </left>
        <right style="medium">
          <color indexed="64"/>
        </right>
        <top/>
        <bottom/>
      </border>
    </dxf>
    <dxf>
      <font>
        <b/>
        <strike val="0"/>
        <outline val="0"/>
        <shadow val="0"/>
        <u val="none"/>
        <vertAlign val="baseline"/>
        <sz val="12"/>
        <color theme="1"/>
        <name val="Aptos Narrow"/>
        <scheme val="minor"/>
      </font>
      <numFmt numFmtId="165" formatCode="&quot;$&quot;#,##0.00"/>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border diagonalUp="0" diagonalDown="0" outline="0">
        <left style="medium">
          <color indexed="64"/>
        </left>
        <right style="medium">
          <color indexed="64"/>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medium">
          <color indexed="64"/>
        </left>
        <right style="medium">
          <color indexed="64"/>
        </right>
        <top/>
        <bottom/>
      </border>
    </dxf>
    <dxf>
      <font>
        <b/>
        <strike val="0"/>
        <outline val="0"/>
        <shadow val="0"/>
        <u val="none"/>
        <vertAlign val="baseline"/>
        <sz val="12"/>
        <color theme="1"/>
        <name val="Aptos Narrow"/>
        <scheme val="minor"/>
      </font>
      <numFmt numFmtId="164" formatCode="m/d/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medium">
          <color indexed="64"/>
        </left>
        <right style="thin">
          <color indexed="64"/>
        </right>
        <top/>
        <bottom/>
      </border>
    </dxf>
    <dxf>
      <font>
        <b/>
        <strike val="0"/>
        <outline val="0"/>
        <shadow val="0"/>
        <u val="none"/>
        <vertAlign val="baseline"/>
        <sz val="12"/>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strike val="0"/>
        <outline val="0"/>
        <shadow val="0"/>
        <u val="none"/>
        <vertAlign val="baseline"/>
        <sz val="12"/>
        <color theme="1"/>
        <name val="Aptos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scheme val="minor"/>
      </font>
      <numFmt numFmtId="0" formatCode="General"/>
      <alignment horizontal="center" vertical="bottom" textRotation="0" wrapText="0" indent="0" justifyLastLine="0" shrinkToFit="0" readingOrder="0"/>
      <border diagonalUp="0" diagonalDown="0" outline="0">
        <left style="medium">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outline="0">
        <left style="thin">
          <color rgb="FF000000"/>
        </left>
        <right style="thin">
          <color rgb="FF000000"/>
        </right>
        <top/>
        <bottom/>
      </border>
    </dxf>
    <dxf>
      <border diagonalUp="0" diagonalDown="0">
        <left style="medium">
          <color rgb="FF000000"/>
        </left>
        <right style="medium">
          <color rgb="FF000000"/>
        </right>
        <top style="medium">
          <color rgb="FF000000"/>
        </top>
        <bottom style="medium">
          <color rgb="FF000000"/>
        </bottom>
      </border>
    </dxf>
    <dxf>
      <font>
        <b/>
        <strike val="0"/>
        <outline val="0"/>
        <shadow val="0"/>
        <u val="none"/>
        <vertAlign val="baseline"/>
        <sz val="12"/>
        <color rgb="FF000000"/>
        <name val="Aptos Narrow"/>
        <scheme val="none"/>
      </font>
      <alignment horizontal="center" vertical="bottom" textRotation="0" wrapText="0" indent="0" justifyLastLine="0" shrinkToFit="0" readingOrder="0"/>
    </dxf>
    <dxf>
      <border>
        <bottom style="medium">
          <color rgb="FF000000"/>
        </bottom>
      </border>
    </dxf>
    <dxf>
      <font>
        <b/>
      </font>
      <alignment horizontal="center" vertical="bottom" textRotation="0" wrapText="0" indent="0" justifyLastLine="0" shrinkToFit="0" readingOrder="0"/>
      <border diagonalUp="0" diagonalDown="0" outline="0">
        <left style="thin">
          <color indexed="64"/>
        </left>
        <right style="thin">
          <color indexed="64"/>
        </right>
        <top/>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outline="0">
        <left/>
        <right style="medium">
          <color indexed="64"/>
        </right>
        <top style="thin">
          <color indexed="64"/>
        </top>
        <bottom style="thin">
          <color indexed="64"/>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outline="0">
        <left style="medium">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left style="thin">
          <color rgb="FF000000"/>
        </left>
        <right style="thin">
          <color rgb="FF000000"/>
        </right>
        <top/>
        <bottom/>
      </border>
    </dxf>
    <dxf>
      <font>
        <b val="0"/>
        <strike val="0"/>
        <outline val="0"/>
        <shadow val="0"/>
        <u val="none"/>
        <vertAlign val="baseline"/>
        <sz val="12"/>
        <color rgb="FF000000"/>
        <name val="Aptos Narrow"/>
        <scheme val="none"/>
      </font>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2"/>
        <color theme="1"/>
        <name val="Aptos Narrow"/>
        <scheme val="minor"/>
      </font>
      <numFmt numFmtId="0" formatCode="General"/>
      <alignment horizontal="center" vertical="bottom" textRotation="0" wrapText="0" indent="0" justifyLastLine="0" shrinkToFit="0" readingOrder="0"/>
    </dxf>
    <dxf>
      <font>
        <b val="0"/>
        <strike val="0"/>
        <outline val="0"/>
        <shadow val="0"/>
        <u val="none"/>
        <vertAlign val="baseline"/>
        <sz val="12"/>
        <color theme="1"/>
        <name val="Aptos Narrow"/>
        <scheme val="minor"/>
      </font>
      <alignment horizontal="center" vertical="bottom" textRotation="0" wrapText="0" indent="0" justifyLastLine="0" shrinkToFit="0" readingOrder="0"/>
    </dxf>
    <dxf>
      <font>
        <b val="0"/>
        <strike val="0"/>
        <outline val="0"/>
        <shadow val="0"/>
        <u val="none"/>
        <vertAlign val="baseline"/>
        <sz val="12"/>
        <color theme="1"/>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scheme val="minor"/>
      </font>
      <alignment horizontal="center" vertical="bottom" textRotation="0" wrapText="0" indent="0" justifyLastLine="0" shrinkToFit="0" readingOrder="0"/>
    </dxf>
    <dxf>
      <font>
        <b val="0"/>
        <strike val="0"/>
        <outline val="0"/>
        <shadow val="0"/>
        <u val="none"/>
        <vertAlign val="baseline"/>
        <sz val="12"/>
        <color theme="1"/>
        <name val="Aptos Narrow"/>
        <scheme val="minor"/>
      </font>
      <alignment horizontal="center" vertical="bottom" textRotation="0" wrapText="0" indent="0" justifyLastLine="0" shrinkToFit="0" readingOrder="0"/>
      <border diagonalUp="0" diagonalDown="0">
        <left style="medium">
          <color indexed="64"/>
        </left>
        <right/>
        <top/>
        <bottom/>
      </border>
    </dxf>
    <dxf>
      <alignment horizontal="center" vertical="center" textRotation="0" wrapText="0" indent="0" justifyLastLine="0" shrinkToFit="0" readingOrder="0"/>
      <border diagonalUp="0" diagonalDown="0" outline="0">
        <left style="medium">
          <color indexed="64"/>
        </left>
        <right style="medium">
          <color indexed="64"/>
        </right>
        <top/>
        <bottom/>
      </border>
    </dxf>
    <dxf>
      <font>
        <b/>
        <strike val="0"/>
        <outline val="0"/>
        <shadow val="0"/>
        <u val="none"/>
        <vertAlign val="baseline"/>
        <sz val="12"/>
        <color theme="1"/>
        <name val="Aptos Narrow"/>
        <scheme val="minor"/>
      </font>
      <numFmt numFmtId="165" formatCode="&quot;$&quot;#,##0.00"/>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border diagonalUp="0" diagonalDown="0" outline="0">
        <left style="medium">
          <color indexed="64"/>
        </left>
        <right style="medium">
          <color indexed="64"/>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medium">
          <color indexed="64"/>
        </left>
        <right style="medium">
          <color indexed="64"/>
        </right>
        <top/>
        <bottom/>
      </border>
    </dxf>
    <dxf>
      <font>
        <b/>
        <strike val="0"/>
        <outline val="0"/>
        <shadow val="0"/>
        <u val="none"/>
        <vertAlign val="baseline"/>
        <sz val="12"/>
        <color theme="1"/>
        <name val="Aptos Narrow"/>
        <scheme val="minor"/>
      </font>
      <numFmt numFmtId="164" formatCode="m/d/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medium">
          <color indexed="64"/>
        </left>
        <right style="thin">
          <color indexed="64"/>
        </right>
        <top/>
        <bottom/>
      </border>
    </dxf>
    <dxf>
      <font>
        <b/>
        <strike val="0"/>
        <outline val="0"/>
        <shadow val="0"/>
        <u val="none"/>
        <vertAlign val="baseline"/>
        <sz val="12"/>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border>
    </dxf>
    <dxf>
      <font>
        <b val="0"/>
        <strike val="0"/>
        <outline val="0"/>
        <shadow val="0"/>
        <u val="none"/>
        <vertAlign val="baseline"/>
        <sz val="12"/>
        <color theme="1"/>
        <name val="Aptos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ptos Narrow"/>
        <scheme val="minor"/>
      </font>
      <numFmt numFmtId="0" formatCode="General"/>
      <alignment horizontal="center" vertical="bottom" textRotation="0" wrapText="0" indent="0" justifyLastLine="0" shrinkToFit="0" readingOrder="0"/>
      <border diagonalUp="0" diagonalDown="0" outline="0">
        <left style="medium">
          <color indexed="64"/>
        </left>
        <right/>
        <top style="thin">
          <color indexed="64"/>
        </top>
        <bottom style="thin">
          <color indexed="64"/>
        </bottom>
      </border>
    </dxf>
    <dxf>
      <font>
        <b/>
      </font>
      <alignment horizontal="center" vertical="bottom" textRotation="0" wrapText="0" indent="0" justifyLastLine="0" shrinkToFit="0" readingOrder="0"/>
      <border diagonalUp="0" diagonalDown="0" outline="0">
        <left style="thin">
          <color rgb="FF000000"/>
        </left>
        <right style="thin">
          <color rgb="FF000000"/>
        </right>
        <top/>
        <bottom/>
      </border>
    </dxf>
    <dxf>
      <border diagonalUp="0" diagonalDown="0">
        <left style="medium">
          <color rgb="FF000000"/>
        </left>
        <right style="medium">
          <color rgb="FF000000"/>
        </right>
        <top style="medium">
          <color rgb="FF000000"/>
        </top>
        <bottom style="medium">
          <color rgb="FF000000"/>
        </bottom>
      </border>
    </dxf>
    <dxf>
      <font>
        <b/>
        <strike val="0"/>
        <outline val="0"/>
        <shadow val="0"/>
        <u val="none"/>
        <vertAlign val="baseline"/>
        <sz val="12"/>
        <color rgb="FF000000"/>
        <name val="Aptos Narrow"/>
        <scheme val="none"/>
      </font>
      <alignment horizontal="center" vertical="bottom" textRotation="0" wrapText="0" indent="0" justifyLastLine="0" shrinkToFit="0" readingOrder="0"/>
    </dxf>
    <dxf>
      <border>
        <bottom style="medium">
          <color rgb="FF000000"/>
        </bottom>
      </border>
    </dxf>
    <dxf>
      <font>
        <b/>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CEB9F"/>
      <color rgb="FFE5E87C"/>
      <color rgb="FF94DC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Structure" Target="richData/rdsupportingpropertybagstructure.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ichStyles" Target="richData/rich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Array" Target="richData/rdarray.xml"/><Relationship Id="rId5" Type="http://schemas.openxmlformats.org/officeDocument/2006/relationships/theme" Target="theme/theme1.xml"/><Relationship Id="rId15" Type="http://schemas.microsoft.com/office/2017/06/relationships/rdRichValueTypes" Target="richData/rdRichValueTypes.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SupportingPropertyBag" Target="richData/rdsupporting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5" fmlaRange="$E$10:$E$12" noThreeD="1" sel="3"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10</xdr:row>
          <xdr:rowOff>279400</xdr:rowOff>
        </xdr:from>
        <xdr:to>
          <xdr:col>8</xdr:col>
          <xdr:colOff>12700</xdr:colOff>
          <xdr:row>13</xdr:row>
          <xdr:rowOff>12700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825500</xdr:colOff>
          <xdr:row>5</xdr:row>
          <xdr:rowOff>12700</xdr:rowOff>
        </xdr:from>
        <xdr:to>
          <xdr:col>3</xdr:col>
          <xdr:colOff>12700</xdr:colOff>
          <xdr:row>7</xdr:row>
          <xdr:rowOff>12700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ADD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977900</xdr:colOff>
          <xdr:row>8</xdr:row>
          <xdr:rowOff>0</xdr:rowOff>
        </xdr:from>
        <xdr:to>
          <xdr:col>8</xdr:col>
          <xdr:colOff>12700</xdr:colOff>
          <xdr:row>10</xdr:row>
          <xdr:rowOff>12700</xdr:rowOff>
        </xdr:to>
        <xdr:sp macro="" textlink="">
          <xdr:nvSpPr>
            <xdr:cNvPr id="50179" name="Button 3" hidden="1">
              <a:extLst>
                <a:ext uri="{63B3BB69-23CF-44E3-9099-C40C66FF867C}">
                  <a14:compatExt spid="_x0000_s50179"/>
                </a:ext>
                <a:ext uri="{FF2B5EF4-FFF2-40B4-BE49-F238E27FC236}">
                  <a16:creationId xmlns:a16="http://schemas.microsoft.com/office/drawing/2014/main" id="{00000000-0008-0000-0100-000003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AUTOFIT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825500</xdr:colOff>
          <xdr:row>7</xdr:row>
          <xdr:rowOff>279400</xdr:rowOff>
        </xdr:from>
        <xdr:to>
          <xdr:col>3</xdr:col>
          <xdr:colOff>12700</xdr:colOff>
          <xdr:row>10</xdr:row>
          <xdr:rowOff>12700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REMOVE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812800</xdr:colOff>
          <xdr:row>8</xdr:row>
          <xdr:rowOff>12700</xdr:rowOff>
        </xdr:from>
        <xdr:to>
          <xdr:col>5</xdr:col>
          <xdr:colOff>12700</xdr:colOff>
          <xdr:row>10</xdr:row>
          <xdr:rowOff>12700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DUPLICATE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11</xdr:row>
          <xdr:rowOff>12700</xdr:rowOff>
        </xdr:from>
        <xdr:to>
          <xdr:col>5</xdr:col>
          <xdr:colOff>12700</xdr:colOff>
          <xdr:row>13</xdr:row>
          <xdr:rowOff>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01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DELETE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10</xdr:row>
          <xdr:rowOff>279400</xdr:rowOff>
        </xdr:from>
        <xdr:to>
          <xdr:col>8</xdr:col>
          <xdr:colOff>12700</xdr:colOff>
          <xdr:row>13</xdr:row>
          <xdr:rowOff>12700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825500</xdr:colOff>
          <xdr:row>5</xdr:row>
          <xdr:rowOff>12700</xdr:rowOff>
        </xdr:from>
        <xdr:to>
          <xdr:col>3</xdr:col>
          <xdr:colOff>12700</xdr:colOff>
          <xdr:row>7</xdr:row>
          <xdr:rowOff>12700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ADD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977900</xdr:colOff>
          <xdr:row>8</xdr:row>
          <xdr:rowOff>0</xdr:rowOff>
        </xdr:from>
        <xdr:to>
          <xdr:col>8</xdr:col>
          <xdr:colOff>12700</xdr:colOff>
          <xdr:row>10</xdr:row>
          <xdr:rowOff>12700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AUTOFIT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825500</xdr:colOff>
          <xdr:row>7</xdr:row>
          <xdr:rowOff>279400</xdr:rowOff>
        </xdr:from>
        <xdr:to>
          <xdr:col>3</xdr:col>
          <xdr:colOff>12700</xdr:colOff>
          <xdr:row>10</xdr:row>
          <xdr:rowOff>12700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200-000004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REMOVE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812800</xdr:colOff>
          <xdr:row>8</xdr:row>
          <xdr:rowOff>12700</xdr:rowOff>
        </xdr:from>
        <xdr:to>
          <xdr:col>5</xdr:col>
          <xdr:colOff>12700</xdr:colOff>
          <xdr:row>10</xdr:row>
          <xdr:rowOff>12700</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200-00000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DUPLICATE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11</xdr:row>
          <xdr:rowOff>12700</xdr:rowOff>
        </xdr:from>
        <xdr:to>
          <xdr:col>5</xdr:col>
          <xdr:colOff>12700</xdr:colOff>
          <xdr:row>13</xdr:row>
          <xdr:rowOff>0</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200-000006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DELETE TAB</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11</xdr:row>
          <xdr:rowOff>114300</xdr:rowOff>
        </xdr:from>
        <xdr:to>
          <xdr:col>5</xdr:col>
          <xdr:colOff>1028700</xdr:colOff>
          <xdr:row>13</xdr:row>
          <xdr:rowOff>0</xdr:rowOff>
        </xdr:to>
        <xdr:sp macro="" textlink="">
          <xdr:nvSpPr>
            <xdr:cNvPr id="10247" name="Drop Dow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10196</xdr:colOff>
      <xdr:row>9</xdr:row>
      <xdr:rowOff>18922</xdr:rowOff>
    </xdr:from>
    <xdr:to>
      <xdr:col>5</xdr:col>
      <xdr:colOff>1039091</xdr:colOff>
      <xdr:row>11</xdr:row>
      <xdr:rowOff>115455</xdr:rowOff>
    </xdr:to>
    <xdr:sp macro="" textlink="">
      <xdr:nvSpPr>
        <xdr:cNvPr id="3" name="TextBox 2">
          <a:extLst>
            <a:ext uri="{FF2B5EF4-FFF2-40B4-BE49-F238E27FC236}">
              <a16:creationId xmlns:a16="http://schemas.microsoft.com/office/drawing/2014/main" id="{8E17FB53-8567-BFFE-5449-706E418AF639}"/>
            </a:ext>
          </a:extLst>
        </xdr:cNvPr>
        <xdr:cNvSpPr txBox="1"/>
      </xdr:nvSpPr>
      <xdr:spPr>
        <a:xfrm>
          <a:off x="5032469" y="1952786"/>
          <a:ext cx="3814236" cy="515055"/>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CALCULATE BASED ON: </a:t>
          </a:r>
        </a:p>
      </xdr:txBody>
    </xdr:sp>
    <xdr:clientData/>
  </xdr:twoCellAnchor>
  <mc:AlternateContent xmlns:mc="http://schemas.openxmlformats.org/markup-compatibility/2006">
    <mc:Choice xmlns:a14="http://schemas.microsoft.com/office/drawing/2010/main" Requires="a14">
      <xdr:twoCellAnchor>
        <xdr:from>
          <xdr:col>1</xdr:col>
          <xdr:colOff>139700</xdr:colOff>
          <xdr:row>8</xdr:row>
          <xdr:rowOff>215900</xdr:rowOff>
        </xdr:from>
        <xdr:to>
          <xdr:col>2</xdr:col>
          <xdr:colOff>1841500</xdr:colOff>
          <xdr:row>11</xdr:row>
          <xdr:rowOff>139700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3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9</xdr:row>
          <xdr:rowOff>12700</xdr:rowOff>
        </xdr:from>
        <xdr:to>
          <xdr:col>3</xdr:col>
          <xdr:colOff>1587500</xdr:colOff>
          <xdr:row>11</xdr:row>
          <xdr:rowOff>165100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3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90" b="0" i="0" u="none" strike="noStrike" baseline="0">
                  <a:solidFill>
                    <a:srgbClr val="000000"/>
                  </a:solidFill>
                  <a:latin typeface="Aptos Narrow" charset="0"/>
                </a:rPr>
                <a:t>AUTOFIT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177800</xdr:colOff>
          <xdr:row>5</xdr:row>
          <xdr:rowOff>76200</xdr:rowOff>
        </xdr:from>
        <xdr:to>
          <xdr:col>3</xdr:col>
          <xdr:colOff>1600200</xdr:colOff>
          <xdr:row>8</xdr:row>
          <xdr:rowOff>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3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70" b="0" i="0" u="none" strike="noStrike" baseline="0">
                  <a:solidFill>
                    <a:srgbClr val="000000"/>
                  </a:solidFill>
                  <a:latin typeface="Aptos Narrow" charset="0"/>
                </a:rPr>
                <a:t>UPDATE STOCK TABLE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9">
  <a r="1" c="157">
    <v t="i">1</v>
    <v t="i">8</v>
    <v t="i">15</v>
    <v t="i">23</v>
    <v t="i">29</v>
    <v t="i">36</v>
    <v t="i">43</v>
    <v t="i">50</v>
    <v t="i">57</v>
    <v t="i">64</v>
    <v t="i">71</v>
    <v t="i">78</v>
    <v t="i">85</v>
    <v t="i">92</v>
    <v t="i">99</v>
    <v t="i">106</v>
    <v t="i">113</v>
    <v t="i">121</v>
    <v t="i">127</v>
    <v t="i">134</v>
    <v t="i">142</v>
    <v t="i">148</v>
    <v t="i">155</v>
    <v t="i">162</v>
    <v t="i">169</v>
    <v t="i">176</v>
    <v t="i">183</v>
    <v t="i">190</v>
    <v t="i">197</v>
    <v t="i">204</v>
    <v t="i">211</v>
    <v t="i">219</v>
    <v t="i">225</v>
    <v t="i">232</v>
    <v t="i">239</v>
    <v t="i">246</v>
    <v t="i">253</v>
    <v t="i">260</v>
    <v t="i">267</v>
    <v t="i">274</v>
    <v t="i">281</v>
    <v t="i">288</v>
    <v t="i">295</v>
    <v t="i">302</v>
    <v t="i">309</v>
    <v t="i">316</v>
    <v t="i">323</v>
    <v t="i">331</v>
    <v t="i">338</v>
    <v t="i">344</v>
    <v t="i">352</v>
    <v t="i">358</v>
    <v t="i">365</v>
    <v t="i">372</v>
    <v t="i">379</v>
    <v t="i">387</v>
    <v t="i">393</v>
    <v t="i">400</v>
    <v t="i">407</v>
    <v t="i">414</v>
    <v t="i">421</v>
    <v t="i">428</v>
    <v t="i">435</v>
    <v t="i">442</v>
    <v t="i">449</v>
    <v t="i">456</v>
    <v t="i">463</v>
    <v t="i">470</v>
    <v t="i">477</v>
    <v t="i">485</v>
    <v t="i">491</v>
    <v t="i">498</v>
    <v t="i">505</v>
    <v t="i">512</v>
    <v t="i">519</v>
    <v t="i">526</v>
    <v t="i">533</v>
    <v t="i">540</v>
    <v t="i">547</v>
    <v t="i">554</v>
    <v t="i">561</v>
    <v t="i">568</v>
    <v t="i">575</v>
    <v t="i">583</v>
    <v t="i">589</v>
    <v t="i">596</v>
    <v t="i">603</v>
    <v t="i">610</v>
    <v t="i">617</v>
    <v t="i">624</v>
    <v t="i">631</v>
    <v t="i">638</v>
    <v t="i">645</v>
    <v t="i">652</v>
    <v t="i">659</v>
    <v t="i">666</v>
    <v t="i">673</v>
    <v t="i">680</v>
    <v t="i">687</v>
    <v t="i">694</v>
    <v t="i">701</v>
    <v t="i">708</v>
    <v t="i">715</v>
    <v t="i">723</v>
    <v t="i">729</v>
    <v t="i">736</v>
    <v t="i">743</v>
    <v t="i">751</v>
    <v t="i">757</v>
    <v t="i">764</v>
    <v t="i">771</v>
    <v t="i">778</v>
    <v t="i">785</v>
    <v t="i">792</v>
    <v t="i">799</v>
    <v t="i">806</v>
    <v t="i">813</v>
    <v t="i">820</v>
    <v t="i">827</v>
    <v t="i">834</v>
    <v t="i">841</v>
    <v t="i">849</v>
    <v t="i">855</v>
    <v t="i">862</v>
    <v t="i">869</v>
    <v t="i">876</v>
    <v t="i">883</v>
    <v t="i">890</v>
    <v t="i">897</v>
    <v t="i">904</v>
    <v t="i">911</v>
    <v t="i">918</v>
    <v t="i">925</v>
    <v t="i">932</v>
    <v t="i">939</v>
    <v t="i">947</v>
    <v t="i">953</v>
    <v t="i">960</v>
    <v t="i">967</v>
    <v t="i">974</v>
    <v t="i">981</v>
    <v t="i">988</v>
    <v t="i">995</v>
    <v t="i">1002</v>
    <v t="i">1009</v>
    <v t="i">1016</v>
    <v t="i">1023</v>
    <v t="i">1030</v>
    <v t="i">1037</v>
    <v t="i">1044</v>
    <v t="i">1051</v>
    <v t="i">1058</v>
    <v t="i">1065</v>
    <v t="i">1072</v>
    <v t="i">1079</v>
    <v t="i">1087</v>
    <v t="i">1093</v>
  </a>
  <a r="1" c="157">
    <v>29.94</v>
    <v>31.71</v>
    <v>30.35</v>
    <v>28.21</v>
    <v>28.55</v>
    <v>28.16</v>
    <v>25.8</v>
    <v>26.31</v>
    <v>28</v>
    <v>29.6</v>
    <v>30.61</v>
    <v>30.39</v>
    <v>30.28</v>
    <v>30.01</v>
    <v>29.03</v>
    <v>29.23</v>
    <v>28.31</v>
    <v>28.19</v>
    <v>27.98</v>
    <v>28.43</v>
    <v>27.8</v>
    <v>28.79</v>
    <v>28.63</v>
    <v>29.89</v>
    <v>30.36</v>
    <v>30.18</v>
    <v>30.09</v>
    <v>30.76</v>
    <v>30.35</v>
    <v>30.73</v>
    <v>31.46</v>
    <v>31.65</v>
    <v>32.700000000000003</v>
    <v>32.340000000000003</v>
    <v>31.92</v>
    <v>31.02</v>
    <v>32.58</v>
    <v>32.5</v>
    <v>32.46</v>
    <v>32.799999999999997</v>
    <v>32.26</v>
    <v>32.78</v>
    <v>32.92</v>
    <v>32.97</v>
    <v>32.299999999999997</v>
    <v>32.26</v>
    <v>33.64</v>
    <v>34.01</v>
    <v>33.86</v>
    <v>33.17</v>
    <v>31.53</v>
    <v>32.340000000000003</v>
    <v>31.45</v>
    <v>30.79</v>
    <v>30.44</v>
    <v>30.8</v>
    <v>30.91</v>
    <v>32.14</v>
    <v>31.74</v>
    <v>31.04</v>
    <v>31.72</v>
    <v>33.75</v>
    <v>33.119999999999997</v>
    <v>32.51</v>
    <v>32.799999999999997</v>
    <v>31.71</v>
    <v>32.64</v>
    <v>32.68</v>
    <v>31.15</v>
    <v>31.53</v>
    <v>30.24</v>
    <v>28.94</v>
    <v>30.49</v>
    <v>30.79</v>
    <v>31.26</v>
    <v>31.09</v>
    <v>30.58</v>
    <v>31.66</v>
    <v>30.97</v>
    <v>31.31</v>
    <v>31.98</v>
    <v>32.700000000000003</v>
    <v>32.57</v>
    <v>30.96</v>
    <v>30.93</v>
    <v>32.049999999999997</v>
    <v>30.61</v>
    <v>31.42</v>
    <v>31.35</v>
    <v>30.76</v>
    <v>31</v>
    <v>30.3</v>
    <v>29.92</v>
    <v>29.69</v>
    <v>29.01</v>
    <v>28.18</v>
    <v>28.11</v>
    <v>27.84</v>
    <v>26.37</v>
    <v>26.95</v>
    <v>27.7</v>
    <v>28.13</v>
    <v>28.95</v>
    <v>28.07</v>
    <v>28.15</v>
    <v>28.58</v>
    <v>29.36</v>
    <v>29.07</v>
    <v>28.97</v>
    <v>29.45</v>
    <v>29.98</v>
    <v>31.17</v>
    <v>30.96</v>
    <v>28.14</v>
    <v>26.44</v>
    <v>27.87</v>
    <v>29.07</v>
    <v>28.8</v>
    <v>29.44</v>
    <v>30.17</v>
    <v>29.1</v>
    <v>29.56</v>
    <v>30.46</v>
    <v>32.590000000000003</v>
    <v>32.93</v>
    <v>32.49</v>
    <v>32.79</v>
    <v>33.46</v>
    <v>32.93</v>
    <v>34.69</v>
    <v>33.97</v>
    <v>34.64</v>
    <v>35.21</v>
    <v>35.93</v>
    <v>35.770000000000003</v>
    <v>34.18</v>
    <v>34.869999999999997</v>
    <v>34.729999999999997</v>
    <v>35.85</v>
    <v>35.06</v>
    <v>34.4</v>
    <v>34.799999999999997</v>
    <v>36.81</v>
    <v>36.909999999999997</v>
    <v>37.06</v>
    <v>38.22</v>
    <v>37.299999999999997</v>
    <v>37.42</v>
    <v>37.21</v>
    <v>37.6</v>
    <v>37.25</v>
    <v>37.770000000000003</v>
    <v>39.04</v>
    <v>37.32</v>
    <v>38.700000000000003</v>
    <v>39.979999999999997</v>
    <v>40.92</v>
  </a>
  <a r="1" c="157">
    <v>25.4</v>
    <v>24.94</v>
    <v>24.84</v>
    <v>23.99</v>
    <v>25</v>
    <v>19.89</v>
    <v>16.5</v>
    <v>16.149999999999999</v>
    <v>17.41</v>
    <v>16.5</v>
    <v>16.88</v>
    <v>16.8</v>
    <v>15.53</v>
    <v>15.27</v>
    <v>13.5</v>
    <v>13.23</v>
    <v>13.21</v>
    <v>13.12</v>
    <v>13.85</v>
    <v>14.05</v>
    <v>14.25</v>
    <v>12.85</v>
    <v>13.49</v>
    <v>14.29</v>
    <v>15.35</v>
    <v>15.26</v>
    <v>13.9</v>
    <v>12.75</v>
    <v>12.8</v>
    <v>12.89</v>
    <v>13.36</v>
    <v>12.67</v>
    <v>12.8</v>
    <v>12.82</v>
    <v>13.26</v>
    <v>12.56</v>
    <v>12.82</v>
    <v>12.27</v>
    <v>11.75</v>
    <v>11.59</v>
    <v>11.63</v>
    <v>13</v>
    <v>13.25</v>
    <v>13.79</v>
    <v>14.64</v>
    <v>13.78</v>
    <v>16.46</v>
    <v>15.19</v>
    <v>15.54</v>
    <v>14.5</v>
    <v>13.64</v>
    <v>14.65</v>
    <v>13.61</v>
    <v>13.27</v>
    <v>13.07</v>
    <v>12.86</v>
    <v>13.45</v>
    <v>14.7</v>
    <v>14.76</v>
    <v>16.899999999999999</v>
    <v>17.18</v>
    <v>16.25</v>
    <v>15.12</v>
    <v>15.5</v>
    <v>15</v>
    <v>14.85</v>
    <v>15.87</v>
    <v>18.79</v>
    <v>19.010000000000002</v>
    <v>19.45</v>
    <v>18.7</v>
    <v>18.7</v>
    <v>18.27</v>
    <v>17.829999999999998</v>
    <v>16.5</v>
    <v>17.98</v>
    <v>15.77</v>
    <v>20.260000000000002</v>
    <v>17.63</v>
    <v>19</v>
    <v>24.57</v>
    <v>29.74</v>
    <v>29.21</v>
    <v>27.51</v>
    <v>28.11</v>
    <v>28.98</v>
    <v>33.700000000000003</v>
    <v>34.68</v>
    <v>35.61</v>
    <v>36.590000000000003</v>
    <v>34.4</v>
    <v>33.200000000000003</v>
    <v>41.3</v>
    <v>24.13</v>
    <v>26.71</v>
    <v>25.6</v>
    <v>24.51</v>
    <v>23.94</v>
    <v>21.76</v>
    <v>22.27</v>
    <v>22.4</v>
    <v>21.24</v>
    <v>24.07</v>
    <v>24.22</v>
    <v>20.87</v>
    <v>19.829999999999998</v>
    <v>19.63</v>
    <v>18.510000000000002</v>
    <v>17.14</v>
    <v>16.89</v>
    <v>18.190000000000001</v>
    <v>17.45</v>
    <v>17.04</v>
    <v>16.510000000000002</v>
    <v>15.61</v>
    <v>16.34</v>
    <v>16.36</v>
    <v>17.53</v>
    <v>17.55</v>
    <v>15.36</v>
    <v>15.37</v>
    <v>14.56</v>
    <v>14.53</v>
    <v>15.36</v>
    <v>15.62</v>
    <v>16.18</v>
    <v>18.100000000000001</v>
    <v>18.04</v>
    <v>17.68</v>
    <v>17.75</v>
    <v>15.43</v>
    <v>15.5</v>
    <v>16.84</v>
    <v>17.55</v>
    <v>16.309999999999999</v>
    <v>16.3</v>
    <v>16.18</v>
    <v>16.47</v>
    <v>15.8</v>
    <v>15.79</v>
    <v>13.76</v>
    <v>14.33</v>
    <v>14.68</v>
    <v>13.87</v>
    <v>13.92</v>
    <v>12.59</v>
    <v>12.7</v>
    <v>12.68</v>
    <v>12.82</v>
    <v>12.72</v>
    <v>11.88</v>
    <v>12.08</v>
    <v>12.16</v>
    <v>13.59</v>
    <v>13.92</v>
    <v>14.35</v>
    <v>14.19</v>
  </a>
  <a r="1" c="157">
    <v>154.5</v>
    <v>151.01</v>
    <v>152.55000000000001</v>
    <v>146.71</v>
    <v>151.03</v>
    <v>148.5</v>
    <v>155</v>
    <v>160.25</v>
    <v>164.9</v>
    <v>164.66</v>
    <v>165.21</v>
    <v>165.02</v>
    <v>169.68</v>
    <v>173.57</v>
    <v>172.57</v>
    <v>175.16</v>
    <v>175.43</v>
    <v>180.95</v>
    <v>180.96</v>
    <v>184.92</v>
    <v>186.68</v>
    <v>193.97</v>
    <v>190.68</v>
    <v>190.69</v>
    <v>191.94</v>
    <v>195.83</v>
    <v>181.99</v>
    <v>177.79</v>
    <v>174.49</v>
    <v>178.61</v>
    <v>189.46</v>
    <v>178.18</v>
    <v>175.01</v>
    <v>174.79</v>
    <v>171.21</v>
    <v>177.49</v>
    <v>178.85</v>
    <v>172.88</v>
    <v>168.22</v>
    <v>176.65</v>
    <v>186.4</v>
    <v>189.69</v>
    <v>189.97</v>
    <v>191.24</v>
    <v>195.71</v>
    <v>197.57</v>
    <v>193.6</v>
    <v>192.53</v>
    <v>181.18</v>
    <v>185.92</v>
    <v>191.56</v>
    <v>192.42</v>
    <v>185.85</v>
    <v>188.85</v>
    <v>182.31</v>
    <v>182.52</v>
    <v>179.66</v>
    <v>170.73</v>
    <v>172.62</v>
    <v>172.28</v>
    <v>171.48</v>
    <v>169.58</v>
    <v>176.55</v>
    <v>165</v>
    <v>169.3</v>
    <v>183.38</v>
    <v>183.05</v>
    <v>189.87</v>
    <v>189.98</v>
    <v>192.25</v>
    <v>196.89</v>
    <v>212.49</v>
    <v>207.49</v>
    <v>210.62</v>
    <v>226.34</v>
    <v>230.54</v>
    <v>224.31</v>
    <v>217.96</v>
    <v>219.86</v>
    <v>216.24</v>
    <v>226.05</v>
    <v>226.84</v>
    <v>229</v>
    <v>220.82</v>
    <v>222.5</v>
    <v>228.2</v>
    <v>227.79</v>
    <v>226.8</v>
    <v>227.55</v>
    <v>235</v>
    <v>231.41</v>
    <v>222.91</v>
    <v>226.96</v>
    <v>225</v>
    <v>229.87</v>
    <v>237.33</v>
    <v>242.84</v>
    <v>248.13</v>
    <v>254.49</v>
    <v>255.59</v>
    <v>243.36</v>
    <v>236.85</v>
    <v>229.98</v>
    <v>222.78</v>
    <v>236</v>
    <v>227.63</v>
    <v>244.6</v>
    <v>245.55</v>
    <v>241.84</v>
    <v>239.07</v>
    <v>213.49</v>
    <v>218.27</v>
    <v>217.9</v>
    <v>188.38</v>
    <v>198.15</v>
    <v>196.98</v>
    <v>209.28</v>
    <v>205.35</v>
    <v>198.53</v>
    <v>211.26</v>
    <v>195.27</v>
    <v>200.85</v>
    <v>203.92</v>
    <v>196.45</v>
    <v>201</v>
    <v>201.08</v>
    <v>213.55</v>
    <v>211.16</v>
    <v>211.18</v>
    <v>213.88</v>
    <v>202.38</v>
    <v>229.35</v>
    <v>231.59</v>
    <v>227.76</v>
    <v>232.14</v>
    <v>239.69</v>
    <v>234.07</v>
    <v>245.5</v>
    <v>255.46</v>
    <v>258.02</v>
    <v>245.27</v>
    <v>252.29</v>
    <v>262.82</v>
    <v>270.37</v>
    <v>268.47000000000003</v>
    <v>272.41000000000003</v>
    <v>271.49</v>
    <v>278.85000000000002</v>
    <v>278.77999999999997</v>
    <v>278.27999999999997</v>
    <v>273.67</v>
    <v>273.39999999999998</v>
    <v>271.01</v>
    <v>259.37</v>
    <v>255.53</v>
    <v>248.04</v>
    <v>259.48</v>
  </a>
  <a r="1" c="157">
    <v>60.1</v>
    <v>62.17</v>
    <v>61.51</v>
    <v>61.08</v>
    <v>61.76</v>
    <v>57.35</v>
    <v>53.59</v>
    <v>54.56</v>
    <v>58.02</v>
    <v>56.38</v>
    <v>56.24</v>
    <v>56.44</v>
    <v>57.57</v>
    <v>58.62</v>
    <v>58.51</v>
    <v>58.8</v>
    <v>57.11</v>
    <v>58.02</v>
    <v>59.34</v>
    <v>58.57</v>
    <v>57.9</v>
    <v>59.38</v>
    <v>60.45</v>
    <v>59.44</v>
    <v>61.5</v>
    <v>62.19</v>
    <v>62.92</v>
    <v>63.42</v>
    <v>61.59</v>
    <v>62.06</v>
    <v>62.3</v>
    <v>62.43</v>
    <v>64.25</v>
    <v>64.5</v>
    <v>63.31</v>
    <v>63.27</v>
    <v>63.81</v>
    <v>62.95</v>
    <v>62.82</v>
    <v>65.790000000000006</v>
    <v>65.89</v>
    <v>67</v>
    <v>69.3</v>
    <v>70.010000000000005</v>
    <v>68.84</v>
    <v>68</v>
    <v>68.8</v>
    <v>69.59</v>
    <v>71.19</v>
    <v>71.08</v>
    <v>72.2</v>
    <v>72.78</v>
    <v>73.040000000000006</v>
    <v>72.75</v>
    <v>74.34</v>
    <v>75.19</v>
    <v>74.430000000000007</v>
    <v>74.84</v>
    <v>76.97</v>
    <v>76.45</v>
    <v>78.290000000000006</v>
    <v>76.66</v>
    <v>73.900000000000006</v>
    <v>75.64</v>
    <v>75.459999999999994</v>
    <v>76.400000000000006</v>
    <v>77.98</v>
    <v>77.739999999999995</v>
    <v>74.75</v>
    <v>76.8</v>
    <v>75.25</v>
    <v>73.790000000000006</v>
    <v>76.56</v>
    <v>74.739999999999995</v>
    <v>73.760000000000005</v>
    <v>76.92</v>
    <v>78.06</v>
    <v>80.09</v>
    <v>78.69</v>
    <v>77.88</v>
    <v>78.97</v>
    <v>80.349999999999994</v>
    <v>81.94</v>
    <v>79.39</v>
    <v>78.34</v>
    <v>78.540000000000006</v>
    <v>78.900000000000006</v>
    <v>79.28</v>
    <v>79.349999999999994</v>
    <v>81.819999999999993</v>
    <v>79.569999999999993</v>
    <v>79.27</v>
    <v>83.11</v>
    <v>83.67</v>
    <v>86.07</v>
    <v>86.73</v>
    <v>86.08</v>
    <v>84.18</v>
    <v>83.19</v>
    <v>84.68</v>
    <v>84.35</v>
    <v>81.13</v>
    <v>86.25</v>
    <v>84.88</v>
    <v>85.45</v>
    <v>86.77</v>
    <v>83.01</v>
    <v>82.76</v>
    <v>86.67</v>
    <v>85.34</v>
    <v>86.42</v>
    <v>87.25</v>
    <v>90.64</v>
    <v>83.12</v>
    <v>84.68</v>
    <v>85.32</v>
    <v>85.27</v>
    <v>88.11</v>
    <v>88.4</v>
    <v>89.39</v>
    <v>87.88</v>
    <v>89.29</v>
    <v>89.14</v>
    <v>88.66</v>
    <v>89.16</v>
    <v>90.4</v>
    <v>92.39</v>
    <v>90.59</v>
    <v>92.38</v>
    <v>91.66</v>
    <v>90.29</v>
    <v>93.77</v>
    <v>95</v>
    <v>96.3</v>
    <v>96.8</v>
    <v>96.64</v>
    <v>97.65</v>
    <v>96.69</v>
    <v>100.3</v>
    <v>101.68</v>
    <v>100.86</v>
    <v>98.83</v>
    <v>100.05</v>
    <v>99.56</v>
    <v>102.59</v>
    <v>104.41</v>
    <v>106.4</v>
    <v>107.87</v>
    <v>102.82</v>
    <v>104.31</v>
    <v>106.58</v>
    <v>106.4</v>
    <v>104.66</v>
    <v>104.58</v>
    <v>102.49</v>
    <v>101.86</v>
    <v>105.57</v>
  </a>
  <a r="1" c="157">
    <v>59.83</v>
    <v>59.62</v>
    <v>60.12</v>
    <v>59.84</v>
    <v>59.44</v>
    <v>59.21</v>
    <v>60.02</v>
    <v>60.9</v>
    <v>62.03</v>
    <v>62.84</v>
    <v>63.05</v>
    <v>64.05</v>
    <v>64.150000000000006</v>
    <v>64.02</v>
    <v>64.11</v>
    <v>62.83</v>
    <v>60.26</v>
    <v>61.16</v>
    <v>60.47</v>
    <v>61.67</v>
    <v>61.2</v>
    <v>60.22</v>
    <v>59.76</v>
    <v>60.9</v>
    <v>62.44</v>
    <v>62.48</v>
    <v>60.71</v>
    <v>61.17</v>
    <v>60.95</v>
    <v>60.39</v>
    <v>59.31</v>
    <v>58.33</v>
    <v>57.94</v>
    <v>57.6</v>
    <v>55.98</v>
    <v>53.14</v>
    <v>52.89</v>
    <v>54.57</v>
    <v>55.24</v>
    <v>56.74</v>
    <v>56.72</v>
    <v>57.26</v>
    <v>58.57</v>
    <v>58.64</v>
    <v>58.61</v>
    <v>58.6</v>
    <v>58.32</v>
    <v>58.93</v>
    <v>59.67</v>
    <v>60.39</v>
    <v>59.83</v>
    <v>59.37</v>
    <v>60.54</v>
    <v>59.56</v>
    <v>59.39</v>
    <v>61.2</v>
    <v>59.53</v>
    <v>59.52</v>
    <v>59.88</v>
    <v>60.49</v>
    <v>61.18</v>
    <v>59.51</v>
    <v>58.28</v>
    <v>60.17</v>
    <v>61.74</v>
    <v>62.17</v>
    <v>63.26</v>
    <v>63.03</v>
    <v>62</v>
    <v>62.93</v>
    <v>63.91</v>
    <v>62.55</v>
    <v>62.77</v>
    <v>63.65</v>
    <v>63.76</v>
    <v>63.7</v>
    <v>65.290000000000006</v>
    <v>67.05</v>
    <v>69.33</v>
    <v>68.680000000000007</v>
    <v>69.180000000000007</v>
    <v>69.790000000000006</v>
    <v>72.47</v>
    <v>71.14</v>
    <v>71.41</v>
    <v>71.64</v>
    <v>71.790000000000006</v>
    <v>70.17</v>
    <v>69.569999999999993</v>
    <v>70.44</v>
    <v>66.92</v>
    <v>65.010000000000005</v>
    <v>63.92</v>
    <v>61.74</v>
    <v>63.92</v>
    <v>64.08</v>
    <v>62.53</v>
    <v>63.12</v>
    <v>62.55</v>
    <v>62.45</v>
    <v>61.75</v>
    <v>61.07</v>
    <v>62.71</v>
    <v>61.92</v>
    <v>63.48</v>
    <v>63.84</v>
    <v>68.87</v>
    <v>71.349999999999994</v>
    <v>71.209999999999994</v>
    <v>71.430000000000007</v>
    <v>69.16</v>
    <v>68.67</v>
    <v>70.37</v>
    <v>69.930000000000007</v>
    <v>71.430000000000007</v>
    <v>73</v>
    <v>71.91</v>
    <v>71.650000000000006</v>
    <v>70.52</v>
    <v>72</v>
    <v>71.77</v>
    <v>72.099999999999994</v>
    <v>71.349999999999994</v>
    <v>71.02</v>
    <v>68.84</v>
    <v>70.33</v>
    <v>71.349999999999994</v>
    <v>69.87</v>
    <v>69.849999999999994</v>
    <v>69.17</v>
    <v>68.86</v>
    <v>70.34</v>
    <v>69.92</v>
    <v>70.13</v>
    <v>68.989999999999995</v>
    <v>67.959999999999994</v>
    <v>67.010000000000005</v>
    <v>66.430000000000007</v>
    <v>65.67</v>
    <v>66.650000000000006</v>
    <v>67.040000000000006</v>
    <v>68.44</v>
    <v>69.709999999999994</v>
    <v>68.900000000000006</v>
    <v>70.55</v>
    <v>71.16</v>
    <v>72.95</v>
    <v>73.12</v>
    <v>70</v>
    <v>70.52</v>
    <v>70.06</v>
    <v>69.87</v>
    <v>69.12</v>
    <v>70.510000000000005</v>
    <v>70.44</v>
    <v>72.88</v>
    <v>74.81</v>
  </a>
  <a r="1" c="157">
    <v>21.1</v>
    <v>21.265000000000001</v>
    <v>21.388000000000002</v>
    <v>23.286000000000001</v>
    <v>23.89</v>
    <v>22.965</v>
    <v>25.725000000000001</v>
    <v>26.779</v>
    <v>27.777000000000001</v>
    <v>27.036999999999999</v>
    <v>26.757999999999999</v>
    <v>27.119</v>
    <v>27.748999999999999</v>
    <v>28.68</v>
    <v>28.34</v>
    <v>31.263999999999999</v>
    <v>38.945999999999998</v>
    <v>39.326999999999998</v>
    <v>38.770000000000003</v>
    <v>42.692</v>
    <v>42.209000000000003</v>
    <v>42.302</v>
    <v>42.503</v>
    <v>45.469000000000001</v>
    <v>44.308999999999997</v>
    <v>46.75</v>
    <v>44.68</v>
    <v>40.854999999999997</v>
    <v>43.298999999999999</v>
    <v>46.018000000000001</v>
    <v>48.509</v>
    <v>45.572000000000003</v>
    <v>43.9</v>
    <v>41.61</v>
    <v>43.499000000000002</v>
    <v>45.762</v>
    <v>45.460999999999999</v>
    <v>41.387</v>
    <v>40.5</v>
    <v>45.005000000000003</v>
    <v>48.335000000000001</v>
    <v>49.298000000000002</v>
    <v>47.776000000000003</v>
    <v>46.765000000000001</v>
    <v>47.506</v>
    <v>48.89</v>
    <v>48.83</v>
    <v>49.521999999999998</v>
    <v>49.097000000000001</v>
    <v>54.71</v>
    <v>59.491</v>
    <v>61.030999999999999</v>
    <v>66.16</v>
    <v>72.132999999999996</v>
    <v>72.613</v>
    <v>78.816999999999993</v>
    <v>82.278999999999996</v>
    <v>87.528000000000006</v>
    <v>87.836500000000001</v>
    <v>94.289000000000001</v>
    <v>90.355999999999995</v>
    <v>88.007999999999996</v>
    <v>88.186000000000007</v>
    <v>76.2</v>
    <v>87.734999999999999</v>
    <v>88.789000000000001</v>
    <v>89.878</v>
    <v>92.478999999999999</v>
    <v>106.46899999999999</v>
    <v>109.633</v>
    <v>120.88800000000001</v>
    <v>131.88</v>
    <v>126.57</v>
    <v>123.54</v>
    <v>125.83</v>
    <v>129.24</v>
    <v>117.93</v>
    <v>113.06</v>
    <v>107.27</v>
    <v>104.75</v>
    <v>124.58</v>
    <v>129.37</v>
    <v>119.37</v>
    <v>102.83</v>
    <v>119.1</v>
    <v>116</v>
    <v>121.4</v>
    <v>124.92</v>
    <v>134.80000000000001</v>
    <v>138</v>
    <v>141.54</v>
    <v>135.4</v>
    <v>147.63</v>
    <v>141.97999999999999</v>
    <v>141.94999999999999</v>
    <v>138.25</v>
    <v>142.44</v>
    <v>134.25</v>
    <v>134.69999999999999</v>
    <v>137.01</v>
    <v>144.47</v>
    <v>135.91</v>
    <v>137.71</v>
    <v>142.62</v>
    <v>120.07</v>
    <v>129.84</v>
    <v>138.85</v>
    <v>134.43</v>
    <v>124.92</v>
    <v>112.69</v>
    <v>121.67</v>
    <v>117.7</v>
    <v>109.67</v>
    <v>94.31</v>
    <v>110.93</v>
    <v>101.49</v>
    <v>111.01</v>
    <v>114.5</v>
    <v>116.65</v>
    <v>135.4</v>
    <v>131.29</v>
    <v>135.13</v>
    <v>141.72</v>
    <v>141.97</v>
    <v>143.85</v>
    <v>157.75</v>
    <v>159.34</v>
    <v>164.92</v>
    <v>172.41</v>
    <v>173.5</v>
    <v>173.72</v>
    <v>182.7</v>
    <v>180.45</v>
    <v>177.99</v>
    <v>174.18</v>
    <v>167.02</v>
    <v>177.82</v>
    <v>176.67</v>
    <v>178.19</v>
    <v>187.62</v>
    <v>183.16</v>
    <v>183.22</v>
    <v>186.26</v>
    <v>202.49</v>
    <v>188.15</v>
    <v>190.17</v>
    <v>178.88</v>
    <v>177</v>
    <v>182.41</v>
    <v>175.02</v>
    <v>180.99</v>
    <v>190.53</v>
    <v>188.85</v>
    <v>184.86</v>
    <v>186.23</v>
    <v>187.67</v>
    <v>191.13</v>
  </a>
  <a r="1" c="157">
    <v t="i">1</v>
    <v t="i">8</v>
    <v t="i">15</v>
    <v t="i">23</v>
    <v t="i">29</v>
    <v t="i">36</v>
    <v t="i">43</v>
    <v t="i">50</v>
    <v t="i">57</v>
    <v t="i">64</v>
    <v t="i">71</v>
    <v t="i">78</v>
    <v t="i">85</v>
    <v t="i">92</v>
    <v t="i">99</v>
    <v t="i">106</v>
    <v t="i">113</v>
    <v t="i">121</v>
    <v t="i">127</v>
    <v t="i">134</v>
    <v t="i">142</v>
    <v t="i">148</v>
    <v t="i">155</v>
    <v t="i">162</v>
    <v t="i">169</v>
    <v t="i">176</v>
    <v t="i">183</v>
    <v t="i">190</v>
    <v t="i">197</v>
    <v t="i">204</v>
    <v t="i">211</v>
    <v t="i">219</v>
    <v t="i">225</v>
    <v t="i">232</v>
    <v t="i">239</v>
    <v t="i">246</v>
    <v t="i">253</v>
    <v t="i">260</v>
    <v t="i">267</v>
    <v t="i">274</v>
    <v t="i">281</v>
    <v t="i">288</v>
    <v t="i">295</v>
    <v t="i">302</v>
    <v t="i">309</v>
    <v t="i">316</v>
    <v t="i">323</v>
    <v t="i">330</v>
    <v t="i">338</v>
    <v t="i">344</v>
    <v t="i">352</v>
    <v t="i">358</v>
    <v t="i">365</v>
    <v t="i">372</v>
    <v t="i">379</v>
    <v t="i">387</v>
    <v t="i">393</v>
    <v t="i">400</v>
    <v t="i">407</v>
    <v t="i">414</v>
    <v t="i">421</v>
    <v t="i">428</v>
    <v t="i">435</v>
    <v t="i">442</v>
    <v t="i">449</v>
    <v t="i">456</v>
    <v t="i">463</v>
    <v t="i">470</v>
    <v t="i">477</v>
    <v t="i">485</v>
    <v t="i">491</v>
    <v t="i">498</v>
    <v t="i">505</v>
    <v t="i">512</v>
    <v t="i">519</v>
    <v t="i">526</v>
    <v t="i">533</v>
    <v t="i">540</v>
    <v t="i">547</v>
    <v t="i">554</v>
    <v t="i">561</v>
    <v t="i">568</v>
    <v t="i">575</v>
    <v t="i">583</v>
    <v t="i">589</v>
    <v t="i">596</v>
    <v t="i">603</v>
    <v t="i">610</v>
    <v t="i">617</v>
    <v t="i">624</v>
    <v t="i">631</v>
    <v t="i">638</v>
    <v t="i">645</v>
    <v t="i">652</v>
    <v t="i">659</v>
    <v t="i">666</v>
    <v t="i">673</v>
    <v t="i">680</v>
    <v t="i">687</v>
    <v t="i">694</v>
    <v t="i">701</v>
    <v t="i">708</v>
    <v t="i">715</v>
    <v t="i">723</v>
    <v t="i">729</v>
    <v t="i">736</v>
    <v t="i">743</v>
    <v t="i">751</v>
    <v t="i">757</v>
    <v t="i">764</v>
    <v t="i">771</v>
    <v t="i">778</v>
    <v t="i">785</v>
    <v t="i">792</v>
    <v t="i">799</v>
    <v t="i">806</v>
    <v t="i">813</v>
    <v t="i">820</v>
    <v t="i">827</v>
    <v t="i">834</v>
    <v t="i">841</v>
    <v t="i">849</v>
    <v t="i">855</v>
    <v t="i">862</v>
    <v t="i">869</v>
    <v t="i">876</v>
    <v t="i">883</v>
    <v t="i">890</v>
    <v t="i">897</v>
    <v t="i">904</v>
    <v t="i">911</v>
    <v t="i">918</v>
    <v t="i">925</v>
    <v t="i">932</v>
    <v t="i">939</v>
    <v t="i">947</v>
    <v t="i">953</v>
    <v t="i">960</v>
    <v t="i">967</v>
    <v t="i">974</v>
    <v t="i">981</v>
    <v t="i">988</v>
    <v t="i">995</v>
    <v t="i">1002</v>
    <v t="i">1009</v>
    <v t="i">1016</v>
    <v t="i">1023</v>
    <v t="i">1030</v>
    <v t="i">1037</v>
    <v t="i">1044</v>
    <v t="i">1051</v>
    <v t="i">1058</v>
    <v t="i">1065</v>
    <v t="i">1072</v>
    <v t="i">1079</v>
    <v t="i">1087</v>
    <v t="i">1093</v>
  </a>
  <a r="1" c="157">
    <v>4136.4799999999996</v>
    <v>4090.46</v>
    <v>4079.09</v>
    <v>3970.04</v>
    <v>4045.64</v>
    <v>3861.59</v>
    <v>3916.64</v>
    <v>3970.99</v>
    <v>4109.3100000000004</v>
    <v>4105.0200000000004</v>
    <v>4137.6400000000003</v>
    <v>4133.5200000000004</v>
    <v>4169.4799999999996</v>
    <v>4136.25</v>
    <v>4124.08</v>
    <v>4191.9799999999996</v>
    <v>4205.45</v>
    <v>4282.37</v>
    <v>4298.8599999999997</v>
    <v>4409.59</v>
    <v>4348.33</v>
    <v>4450.38</v>
    <v>4398.95</v>
    <v>4505.42</v>
    <v>4536.34</v>
    <v>4582.2299999999996</v>
    <v>4478.03</v>
    <v>4464.05</v>
    <v>4369.71</v>
    <v>4405.71</v>
    <v>4515.7700000000004</v>
    <v>4457.49</v>
    <v>4450.32</v>
    <v>4320.0600000000004</v>
    <v>4288.05</v>
    <v>4308.5</v>
    <v>4327.78</v>
    <v>4224.16</v>
    <v>4117.37</v>
    <v>4358.34</v>
    <v>4415.24</v>
    <v>4514.0200000000004</v>
    <v>4559.34</v>
    <v>4594.63</v>
    <v>4604.37</v>
    <v>4719.1899999999996</v>
    <v>4754.63</v>
    <v>4769.83</v>
    <v>4697.24</v>
    <v>4783.83</v>
    <v>4839.8100000000004</v>
    <v>4890.97</v>
    <v>4958.6099999999997</v>
    <v>5026.6099999999997</v>
    <v>5005.57</v>
    <v>5088.8</v>
    <v>5137.08</v>
    <v>5123.6899999999996</v>
    <v>5117.09</v>
    <v>5234.18</v>
    <v>5254.35</v>
    <v>5204.34</v>
    <v>5123.41</v>
    <v>4967.2299999999996</v>
    <v>5099.96</v>
    <v>5127.79</v>
    <v>5222.68</v>
    <v>5303.27</v>
    <v>5304.72</v>
    <v>5277.51</v>
    <v>5346.99</v>
    <v>5431.6</v>
    <v>5464.62</v>
    <v>5460.48</v>
    <v>5567.19</v>
    <v>5615.35</v>
    <v>5505</v>
    <v>5459.1</v>
    <v>5346.56</v>
    <v>5344.16</v>
    <v>5554.25</v>
    <v>5634.61</v>
    <v>5648.4</v>
    <v>5408.42</v>
    <v>5626.02</v>
    <v>5702.55</v>
    <v>5738.17</v>
    <v>5751.07</v>
    <v>5815.03</v>
    <v>5864.67</v>
    <v>5808.12</v>
    <v>5728.8</v>
    <v>5995.54</v>
    <v>5870.62</v>
    <v>5969.34</v>
    <v>6032.38</v>
    <v>6090.27</v>
    <v>6051.09</v>
    <v>5930.85</v>
    <v>5970.84</v>
    <v>5942.47</v>
    <v>5827.04</v>
    <v>5996.66</v>
    <v>6101.24</v>
    <v>6040.53</v>
    <v>6025.99</v>
    <v>6114.63</v>
    <v>6013.13</v>
    <v>5954.5</v>
    <v>5770.2</v>
    <v>5638.94</v>
    <v>5667.56</v>
    <v>5580.94</v>
    <v>5074.08</v>
    <v>5363.36</v>
    <v>5282.7</v>
    <v>5525.21</v>
    <v>5686.67</v>
    <v>5659.91</v>
    <v>5958.38</v>
    <v>5802.82</v>
    <v>5911.69</v>
    <v>6000.36</v>
    <v>5976.97</v>
    <v>5967.84</v>
    <v>6173.07</v>
    <v>6279.35</v>
    <v>6259.75</v>
    <v>6296.79</v>
    <v>6388.64</v>
    <v>6238.01</v>
    <v>6389.45</v>
    <v>6449.8</v>
    <v>6466.91</v>
    <v>6460.26</v>
    <v>6481.5</v>
    <v>6584.29</v>
    <v>6664.36</v>
    <v>6643.7</v>
    <v>6715.79</v>
    <v>6552.51</v>
    <v>6664.01</v>
    <v>6791.69</v>
    <v>6840.2</v>
    <v>6728.8</v>
    <v>6734.11</v>
    <v>6602.99</v>
    <v>6849.09</v>
    <v>6870.4</v>
    <v>6827.41</v>
    <v>6834.5</v>
    <v>6929.94</v>
    <v>6858.47</v>
    <v>6966.28</v>
    <v>6940.01</v>
    <v>6915.61</v>
    <v>6939.03</v>
  </a>
</arrayData>
</file>

<file path=xl/richData/rdrichvalue.xml><?xml version="1.0" encoding="utf-8"?>
<rvData xmlns="http://schemas.microsoft.com/office/spreadsheetml/2017/richdata" count="28">
  <rv s="0">
    <v>https://www.bing.com/financeapi/forcetrigger?t=a1wljc&amp;q=XNYS%3aKO&amp;form=skydnc</v>
    <v>Learn more on Bing</v>
  </rv>
  <rv s="1">
    <v>0</v>
    <v>THE COCA-COLA COMPANY (XNYS:KO)</v>
    <v>2</v>
    <v>3</v>
    <v>Finance</v>
    <v>4</v>
    <v>en-US</v>
    <v>a1wljc</v>
    <v>268435456</v>
    <v>1</v>
    <v>Powered by Refinitiv</v>
    <v>74.894999999999996</v>
    <v>62.35</v>
    <v>0.36249999999999999</v>
    <v>1.42</v>
    <v>1.9338000000000001E-2</v>
    <v>-0.19</v>
    <v>-2.5400000000000002E-3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74.894999999999996</v>
    <v>Beverages</v>
    <v>Stock</v>
    <v>46053.041523553125</v>
    <v>0</v>
    <v>73.540000000000006</v>
    <v>321975433650</v>
    <v>THE COCA-COLA COMPANY</v>
    <v>THE COCA-COLA COMPANY</v>
    <v>73.709999999999994</v>
    <v>24.308499999999999</v>
    <v>73.430000000000007</v>
    <v>74.849999999999994</v>
    <v>74.62</v>
    <v>4301609000</v>
    <v>KO</v>
    <v>THE COCA-COLA COMPANY (XNYS:KO)</v>
    <v>26420468</v>
    <v>15582124</v>
    <v>1919</v>
  </rv>
  <rv s="2">
    <v>1</v>
  </rv>
  <rv s="0">
    <v>https://www.bing.com/financeapi/forcetrigger?t=a1yv52&amp;q=XNAS%3aNVDA&amp;form=skydnc</v>
    <v>Learn more on Bing</v>
  </rv>
  <rv s="1">
    <v>0</v>
    <v>NVIDIA CORPORATION (XNAS:NVDA)</v>
    <v>2</v>
    <v>3</v>
    <v>Finance</v>
    <v>4</v>
    <v>en-US</v>
    <v>a1yv52</v>
    <v>268435456</v>
    <v>1</v>
    <v>Powered by Refinitiv</v>
    <v>212.18989999999999</v>
    <v>86.62</v>
    <v>2.3109000000000002</v>
    <v>-1.38</v>
    <v>-7.1679999999999999E-3</v>
    <v>-0.88</v>
    <v>-4.6039999999999996E-3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194.49</v>
    <v>Semiconductors &amp; Semiconductor Equipment</v>
    <v>Stock</v>
    <v>46052.875009652344</v>
    <v>3</v>
    <v>189.47</v>
    <v>4644459000000</v>
    <v>NVIDIA CORPORATION</v>
    <v>NVIDIA CORPORATION</v>
    <v>191.21</v>
    <v>47.681100000000001</v>
    <v>192.51</v>
    <v>191.13</v>
    <v>190.25</v>
    <v>24300000000</v>
    <v>NVDA</v>
    <v>NVIDIA CORPORATION (XNAS:NVDA)</v>
    <v>179489463</v>
    <v>153227016</v>
    <v>1998</v>
  </rv>
  <rv s="2">
    <v>4</v>
  </rv>
  <rv s="0">
    <v>https://www.bing.com/financeapi/forcetrigger?t=a1rjbh&amp;q=XNYS%3aE&amp;form=skydnc</v>
    <v>Learn more on Bing</v>
  </rv>
  <rv s="3">
    <v>5</v>
    <v>Eni SpA (XNYS:E)</v>
    <v>2</v>
    <v>6</v>
    <v>Finance</v>
    <v>7</v>
    <v>en-US</v>
    <v>a1rjbh</v>
    <v>268435456</v>
    <v>1</v>
    <v>Powered by Refinitiv</v>
    <v>42.03</v>
    <v>24.65</v>
    <v>0.82320000000000004</v>
    <v>-0.76</v>
    <v>-1.8234E-2</v>
    <v>0.38</v>
    <v>9.2859999999999991E-3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41.121499999999997</v>
    <v>Oil &amp; Gas</v>
    <v>Stock</v>
    <v>46052.964272615623</v>
    <v>6</v>
    <v>40.479999999999997</v>
    <v>62951053830</v>
    <v>Eni SpA</v>
    <v>Eni SpA</v>
    <v>41.05</v>
    <v>20.021699999999999</v>
    <v>41.68</v>
    <v>40.92</v>
    <v>41.3</v>
    <v>3146765000</v>
    <v>E</v>
    <v>Eni SpA (XNYS:E)</v>
    <v>242819</v>
    <v>281481</v>
  </rv>
  <rv s="2">
    <v>7</v>
  </rv>
  <rv s="0">
    <v>https://www.bing.com/financeapi/forcetrigger?t=a1wpxm&amp;q=XNYS%3aL&amp;form=skydnc</v>
    <v>Learn more on Bing</v>
  </rv>
  <rv s="1">
    <v>0</v>
    <v>LOEWS CORPORATION (XNYS:L)</v>
    <v>2</v>
    <v>3</v>
    <v>Finance</v>
    <v>4</v>
    <v>en-US</v>
    <v>a1wpxm</v>
    <v>268435456</v>
    <v>1</v>
    <v>Powered by Refinitiv</v>
    <v>109.06</v>
    <v>78.98</v>
    <v>0.61040000000000005</v>
    <v>0.88500000000000001</v>
    <v>8.4539999999999997E-3</v>
    <v>0.38240000000000002</v>
    <v>3.6220000000000002E-3</v>
    <v>USD</v>
    <v>Loews Corporation is a holding company and has four reportable segments comprised of three individual consolidated operating subsidiaries: CNA Financial Corporation (CNA), Boardwalk Pipeline Partners, LP (Boardwalk Pipelines) and Loews Hotels Holding Corporation (Loews Hotels &amp; Co), and the Corporate segment. CNA is an insurance holding company. CNA's insurance products primarily include commercial property and casualty coverage, including surety. Boardwalk Pipelines is engaged in the business of transportation and storage of natural gas and natural gas liquids, olefins and other hydrocarbons. Boardwalk Pipelines also provides ethane supply and transportation services for industrial customers in Louisiana and Texas. The Loews Hotels segment is engaged in operating a chain of hotels. Loews Hotels &amp; Co, together with its subsidiaries, operates a chain of 25 hotels. The business also specializes in customized mid-and short-run packaging solutions.</v>
    <v>13000</v>
    <v>New York Stock Exchange</v>
    <v>XNYS</v>
    <v>XNYS</v>
    <v>9 West 57Th Street, NEW YORK, NY, 10019-2714 US</v>
    <v>105.66</v>
    <v>Insurance</v>
    <v>Stock</v>
    <v>46052.888895786717</v>
    <v>9</v>
    <v>103.68</v>
    <v>21816020674</v>
    <v>LOEWS CORPORATION</v>
    <v>LOEWS CORPORATION</v>
    <v>104.51</v>
    <v>15.1867</v>
    <v>104.68</v>
    <v>105.565</v>
    <v>105.9524</v>
    <v>206659600</v>
    <v>L</v>
    <v>LOEWS CORPORATION (XNYS:L)</v>
    <v>682194</v>
    <v>652045</v>
    <v>1969</v>
  </rv>
  <rv s="2">
    <v>10</v>
  </rv>
  <rv s="0">
    <v>https://www.bing.com/financeapi/forcetrigger?t=a25bnm&amp;q=XNYS%3aVHI&amp;form=skydnc</v>
    <v>Learn more on Bing</v>
  </rv>
  <rv s="1">
    <v>0</v>
    <v>VALHI, INC. (XNYS:VHI)</v>
    <v>2</v>
    <v>3</v>
    <v>Finance</v>
    <v>4</v>
    <v>en-US</v>
    <v>a25bnm</v>
    <v>268435456</v>
    <v>1</v>
    <v>Powered by Refinitiv</v>
    <v>22.545000000000002</v>
    <v>11.44</v>
    <v>1.1918</v>
    <v>0.32</v>
    <v>2.2989000000000002E-2</v>
    <v>-0.23</v>
    <v>-1.6209000000000001E-2</v>
    <v>USD</v>
    <v>Valhi, Inc. is primarily a holding company, which operates through its subsidiaries, NL Industries, Inc., Kronos Worldwide, Inc., CompX International Inc., BasicManagement, Inc. and The LandWell Company. Its segments include Chemicals, Component Products, and Real Estate Management and Development. Chemicals segment produces and markets value-added titanium dioxide pigments. Component Products segment manufactures security products used in the postal, recreational transportation, office and institutional furniture, cabinetry, tool storage, healthcare and a variety of other industries. The segment also manufactures wake enhancement systems, stainless steel exhaust systems, gauges, throttle controls, trim tabs and related hardware and accessories for the recreational marine industry. Real Estate Management and Development segment owns real property in Henderson, Nevada. The segment develops certain land holdings for commercial, industrial and residential purposes in Henderson, Nevada.</v>
    <v>2524</v>
    <v>New York Stock Exchange</v>
    <v>XNYS</v>
    <v>XNYS</v>
    <v>STE 1700, 5430 LBJ FRWY, DALLAS, TX, 75240 US</v>
    <v>14.24</v>
    <v>Chemicals</v>
    <v>Stock</v>
    <v>46053.010232626562</v>
    <v>12</v>
    <v>13.55</v>
    <v>403024609</v>
    <v>VALHI, INC.</v>
    <v>VALHI, INC.</v>
    <v>13.79</v>
    <v>21.561</v>
    <v>13.92</v>
    <v>14.24</v>
    <v>13.96</v>
    <v>28302290</v>
    <v>VHI</v>
    <v>VALHI, INC. (XNYS:VHI)</v>
    <v>36541</v>
    <v>25702</v>
    <v>1971</v>
  </rv>
  <rv s="2">
    <v>13</v>
  </rv>
  <rv s="0">
    <v>https://www.bing.com/financeapi/forcetrigger?t=a1mou2&amp;q=XNAS%3aAAPL&amp;form=skydnc</v>
    <v>Learn more on Bing</v>
  </rv>
  <rv s="1">
    <v>0</v>
    <v>APPLE INC. (XNAS:AAPL)</v>
    <v>2</v>
    <v>3</v>
    <v>Finance</v>
    <v>7</v>
    <v>en-US</v>
    <v>a1mou2</v>
    <v>268435456</v>
    <v>1</v>
    <v>Powered by Refinitiv</v>
    <v>288.62</v>
    <v>169.21010000000001</v>
    <v>1.0946</v>
    <v>1.2</v>
    <v>4.646E-3</v>
    <v>-0.5</v>
    <v>-1.9270000000000001E-3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261.8999</v>
    <v>Computers, Phones &amp; Household Electronics</v>
    <v>Stock</v>
    <v>46053.041661029689</v>
    <v>15</v>
    <v>252.18</v>
    <v>3813818876400</v>
    <v>APPLE INC.</v>
    <v>APPLE INC.</v>
    <v>255.16499999999999</v>
    <v>32.813800000000001</v>
    <v>258.27999999999997</v>
    <v>259.48</v>
    <v>258.98</v>
    <v>14702700000</v>
    <v>AAPL</v>
    <v>APPLE INC. (XNAS:AAPL)</v>
    <v>92443408</v>
    <v>43591868</v>
    <v>1977</v>
  </rv>
  <rv s="2">
    <v>16</v>
  </rv>
  <rv s="0">
    <v>https://www.bing.com/financeapi/forcetrigger?t=a33k6h&amp;q=S%26P+500+INDEX&amp;form=skydnc</v>
    <v>Learn more on Bing</v>
  </rv>
  <rv s="4">
    <v>8</v>
    <v>S&amp;P 500 INDEX</v>
    <v>9</v>
    <v>10</v>
    <v>Finance</v>
    <v>11</v>
    <v>en-US</v>
    <v>a33k6h</v>
    <v>268435456</v>
    <v>1</v>
    <v>Powered by Refinitiv</v>
    <v>7002.28</v>
    <v>4835.04</v>
    <v>-29.98</v>
    <v>-4.3020000000000003E-3</v>
    <v>DE</v>
    <v>6964.09</v>
    <v>Index</v>
    <v>18</v>
    <v>6893.48</v>
    <v>S&amp;P 500 INDEX</v>
    <v>6947.27</v>
    <v>6969.01</v>
    <v>6939.03</v>
    <v>INX</v>
    <v>S&amp;P 500 INDEX</v>
  </rv>
  <rv s="2">
    <v>19</v>
  </rv>
  <rv s="5">
    <v>12</v>
    <v>a1rjbh</v>
    <v>Weekly</v>
    <v>44955</v>
    <v>46060</v>
    <v>0</v>
    <v>1</v>
    <v>639053280000000000,639055310641563624,0</v>
    <v>0</v>
    <v>a1rjbh</v>
    <v>XNYS:E</v>
    <v>1</v>
  </rv>
  <rv s="5">
    <v>12</v>
    <v>a25bnm</v>
    <v>Weekly</v>
    <v>44955</v>
    <v>46060</v>
    <v>0</v>
    <v>1</v>
    <v>639053280000000000,639055310639533470,0</v>
    <v>0</v>
    <v>a25bnm</v>
    <v>XNYS:VHI</v>
    <v>2</v>
  </rv>
  <rv s="5">
    <v>12</v>
    <v>a1mou2</v>
    <v>Weekly</v>
    <v>44955</v>
    <v>46060</v>
    <v>0</v>
    <v>1</v>
    <v>639053280000000000,639055310639593333,0</v>
    <v>0</v>
    <v>a1mou2</v>
    <v>XNAS:AAPL</v>
    <v>3</v>
  </rv>
  <rv s="5">
    <v>12</v>
    <v>a1wpxm</v>
    <v>Weekly</v>
    <v>44955</v>
    <v>46060</v>
    <v>0</v>
    <v>1</v>
    <v>639053280000000000,639055310640029534,0</v>
    <v>0</v>
    <v>a1wpxm</v>
    <v>XNYS:L</v>
    <v>4</v>
  </rv>
  <rv s="5">
    <v>12</v>
    <v>a1wljc</v>
    <v>Weekly</v>
    <v>44955</v>
    <v>46060</v>
    <v>0</v>
    <v>1</v>
    <v>639053280000000000,639055310639626487,0</v>
    <v>0</v>
    <v>a1wljc</v>
    <v>XNYS:KO</v>
    <v>5</v>
  </rv>
  <rv s="5">
    <v>12</v>
    <v>a1yv52</v>
    <v>Weekly</v>
    <v>44955</v>
    <v>46060</v>
    <v>0</v>
    <v>1</v>
    <v>639053280000000000,639055310639650984,0</v>
    <v>0</v>
    <v>a1yv52</v>
    <v>XNAS:NVDA</v>
    <v>6</v>
  </rv>
  <rv s="5">
    <v>12</v>
    <v>a33k6h</v>
    <v>Weekly</v>
    <v>44955</v>
    <v>46060</v>
    <v>0</v>
    <v>1</v>
    <v>639053280000000000,639055310639569670,0</v>
    <v>7</v>
    <v>a33k6h</v>
    <v>INX</v>
    <v>8</v>
  </rv>
</rvData>
</file>

<file path=xl/richData/rdrichvaluestructure.xml><?xml version="1.0" encoding="utf-8"?>
<rvStructures xmlns="http://schemas.microsoft.com/office/spreadsheetml/2017/richdata" count="6">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spbArrays>
  <spbData count="13">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v>
      <v>2</v>
      <v>2</v>
      <v>1</v>
      <v>3</v>
      <v>1</v>
      <v>1</v>
      <v>1</v>
      <v>4</v>
      <v>4</v>
      <v>5</v>
      <v>10</v>
      <v>1</v>
      <v>1</v>
      <v>1</v>
      <v>4</v>
      <v>7</v>
      <v>9</v>
      <v>4</v>
      <v>1</v>
      <v>1</v>
      <v>5</v>
    </spb>
    <spb s="4">
      <v>at close</v>
      <v>from previous close</v>
      <v>from previous close</v>
      <v>Source: Nasdaq</v>
      <v>GMT</v>
      <v>Delayed 15 minutes</v>
      <v>from close</v>
      <v>from close</v>
    </spb>
    <spb s="0">
      <v>2</v>
      <v>Name</v>
      <v>LearnMoreOnLink</v>
    </spb>
    <spb s="6">
      <v>1</v>
      <v>1</v>
      <v>1</v>
    </spb>
    <spb s="7">
      <v>1</v>
      <v>1</v>
      <v>3</v>
      <v>1</v>
      <v>1</v>
      <v>1</v>
      <v>5</v>
      <v>1</v>
      <v>1</v>
      <v>1</v>
      <v>9</v>
    </spb>
    <spb s="8">
      <v>from previous close</v>
      <v>from previous close</v>
    </spb>
    <spb s="9">
      <v>11</v>
      <v>1</v>
    </spb>
  </spbData>
</supportingPropertyBags>
</file>

<file path=xl/richData/rdsupportingpropertybagstructure.xml><?xml version="1.0" encoding="utf-8"?>
<spbStructures xmlns="http://schemas.microsoft.com/office/spreadsheetml/2017/richdata2" count="1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UniqueName" t="spb"/>
    <k n="`%ProviderInfo" t="spb"/>
    <k n="LearnMoreOnLink" t="spb"/>
  </s>
  <s>
    <k n="Low" t="i"/>
    <k n="High" t="i"/>
    <k n="Name" t="i"/>
    <k n="Open" t="i"/>
    <k n="Price" t="i"/>
    <k n="Change" t="i"/>
    <k n="Change (%)" t="i"/>
    <k n="52 week low" t="i"/>
    <k n="52 week high" t="i"/>
    <k n="Previous close" t="i"/>
    <k n="`%EntityServiceId" t="i"/>
  </s>
  <s>
    <k n="Change" t="s"/>
    <k n="Change (%)" t="s"/>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 h:mm"/>
    </x:dxf>
    <x:dxf>
      <x:numFmt numFmtId="14" formatCode="0.00%"/>
    </x:dxf>
    <x:dxf>
      <x:numFmt numFmtId="3" formatCode="#,##0"/>
    </x:dxf>
    <x:dxf>
      <x:numFmt numFmtId="4" formatCode="#,##0.00"/>
    </x:dxf>
    <x:dxf>
      <x:numFmt numFmtId="1" formatCode="0"/>
    </x:dxf>
    <x:dxf>
      <x:numFmt numFmtId="19" formatCode="m/d/yy"/>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_([$€-x-euro2] * #,##0_);_([$€-x-euro2] * (#,##0);_([$€-x-euro2] * "-"_);_(@_)</rpv>
    </rSty>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461800-230D-A84B-A5E0-41765D7B7522}" name="Table51011821" displayName="Table51011821" ref="J3:X4" headerRowDxfId="77" dataDxfId="75" totalsRowDxfId="73" headerRowBorderDxfId="76" tableBorderDxfId="74">
  <autoFilter ref="J3:X4" xr:uid="{69EF1B07-ED76-F947-B3FA-C5487B63C2D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xmlns:xlrd2="http://schemas.microsoft.com/office/spreadsheetml/2017/richdata2" ref="J4:T4">
    <sortCondition ref="M3"/>
  </sortState>
  <tableColumns count="15">
    <tableColumn id="1" xr3:uid="{8D46E919-25CD-314E-A298-80664673A864}" name="COMPANY  NAME" totalsRowLabel="Total" dataDxfId="72">
      <calculatedColumnFormula array="1">IFERROR(_FV($L4,"Name"),"")</calculatedColumnFormula>
    </tableColumn>
    <tableColumn id="2" xr3:uid="{911EF973-43A3-BC49-BC7C-C4BDB33B0CF2}" name="MARKET CAP (Billion)" dataDxfId="71">
      <calculatedColumnFormula array="1">(IFERROR(_FV($L4,"Market cap",TRUE),""))/1000000000</calculatedColumnFormula>
    </tableColumn>
    <tableColumn id="3" xr3:uid="{207B9C2B-4995-3A4F-9F45-DD509ADC124E}" name="STOCK" dataDxfId="70" totalsRowDxfId="69"/>
    <tableColumn id="4" xr3:uid="{97C99AFE-606D-1E41-8D3E-8EFE95A9C274}" name="DATE" dataDxfId="68" totalsRowDxfId="67"/>
    <tableColumn id="5" xr3:uid="{C25F03FD-C451-E24B-BDE3-6A50C3F748A5}" name="QUANTITY" dataDxfId="66" totalsRowDxfId="65"/>
    <tableColumn id="6" xr3:uid="{4D4153E1-8618-E346-8EA0-707542EBA762}" name="BUY PRICE" dataDxfId="64" totalsRowDxfId="63"/>
    <tableColumn id="7" xr3:uid="{ABA1E59F-9047-234D-BC9F-69BB541B4882}" name="CURRENT PRICE" dataDxfId="62">
      <calculatedColumnFormula array="1">IFERROR(_FV($L4,"Price"),"")</calculatedColumnFormula>
    </tableColumn>
    <tableColumn id="8" xr3:uid="{57221C29-ADA0-3F43-B98D-9C9EB57395B7}" name="52 Week HIGH" dataDxfId="61">
      <calculatedColumnFormula array="1">IFERROR(_FV($L4,"52 week high",TRUE),"")</calculatedColumnFormula>
    </tableColumn>
    <tableColumn id="9" xr3:uid="{64A7E6A3-6DBF-794C-96FA-BD8260B43169}" name="52 WEEK LOW" dataDxfId="60">
      <calculatedColumnFormula array="1">IFERROR(_FV($L4,"52 week low",TRUE),"")</calculatedColumnFormula>
    </tableColumn>
    <tableColumn id="10" xr3:uid="{5BC8CE4A-3F3F-D946-B4A4-24D7AC593435}" name="P/E" dataDxfId="59">
      <calculatedColumnFormula array="1">IFERROR(_FV($L4,"P/E",TRUE),"")</calculatedColumnFormula>
    </tableColumn>
    <tableColumn id="11" xr3:uid="{B2196325-57D6-A64A-B57D-57B9FA7EF4FD}" name="EPS" totalsRowFunction="count" dataDxfId="58">
      <calculatedColumnFormula>Table51011821[[#This Row],[CURRENT PRICE]]/Table51011821[[#This Row],[P/E]]</calculatedColumnFormula>
    </tableColumn>
    <tableColumn id="21" xr3:uid="{45528846-91D3-4244-984D-EB57B3B3DDB8}" name="Stock Beta Vs" dataDxfId="57" totalsRowDxfId="56">
      <calculatedColumnFormula array="1">IFERROR(_FV($L4,"Beta"),"")</calculatedColumnFormula>
    </tableColumn>
    <tableColumn id="22" xr3:uid="{4B6B59CC-F872-764A-A422-AAEF817C76DF}" name="Exchange" dataDxfId="55" totalsRowDxfId="54">
      <calculatedColumnFormula array="1">IFERROR(_FV($L4,"Exchange"),"")</calculatedColumnFormula>
    </tableColumn>
    <tableColumn id="18" xr3:uid="{EA51D833-8A0E-C544-A57B-C2D9FC04EB3C}" name="Capital Gain/Loss" dataDxfId="53" totalsRowDxfId="52">
      <calculatedColumnFormula>Table51011821[[#This Row],[BUY PRICE]]-Table51011821[[#This Row],[CURRENT PRICE]]</calculatedColumnFormula>
    </tableColumn>
    <tableColumn id="19" xr3:uid="{D0A470EC-6EA5-7E43-B7E9-FA830C417972}" name="Total Capital" dataDxfId="51" totalsRowDxfId="50">
      <calculatedColumnFormula>Table51011821[[#This Row],[QUANTITY]]*Table51011821[[#This Row],[CURRENT PRICE]]</calculatedColumnFormula>
    </tableColumn>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C49360-09B8-A64F-848C-6F0C482B45BD}" name="Table510118" displayName="Table510118" ref="J3:X9" headerRowDxfId="49" dataDxfId="47" totalsRowDxfId="45" headerRowBorderDxfId="48" tableBorderDxfId="46">
  <autoFilter ref="J3:X9" xr:uid="{69EF1B07-ED76-F947-B3FA-C5487B63C2D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xmlns:xlrd2="http://schemas.microsoft.com/office/spreadsheetml/2017/richdata2" ref="J4:T4">
    <sortCondition ref="M3"/>
  </sortState>
  <tableColumns count="15">
    <tableColumn id="1" xr3:uid="{B39F5624-C64B-D449-9A05-5A33E603A756}" name="COMPANY  NAME" totalsRowLabel="Total" dataDxfId="44">
      <calculatedColumnFormula array="1">IFERROR(_FV($L4,"Name"),"")</calculatedColumnFormula>
    </tableColumn>
    <tableColumn id="2" xr3:uid="{634DD9A6-BACA-F94F-AC9E-65F59EC98608}" name="MARKET CAP (Billion)" dataDxfId="43">
      <calculatedColumnFormula array="1">(IFERROR(_FV($L4,"Market cap",TRUE),""))/1000000000</calculatedColumnFormula>
    </tableColumn>
    <tableColumn id="3" xr3:uid="{1F073CF7-896F-7747-A707-613BC096B3B1}" name="STOCK" dataDxfId="42" totalsRowDxfId="41"/>
    <tableColumn id="4" xr3:uid="{4F8821BA-D4D8-CA41-82E3-24134043BC92}" name="DATE" dataDxfId="40" totalsRowDxfId="39"/>
    <tableColumn id="5" xr3:uid="{82CB560F-C87B-DB48-9356-91733356AEEF}" name="QUANTITY" dataDxfId="38" totalsRowDxfId="37"/>
    <tableColumn id="6" xr3:uid="{BAE3EB68-F8B5-D94C-A722-16D0F1238BD6}" name="BUY PRICE" dataDxfId="36" totalsRowDxfId="35"/>
    <tableColumn id="7" xr3:uid="{4E389E1B-74D7-B64B-9BAA-8A7300262CA8}" name="CURRENT PRICE" dataDxfId="34">
      <calculatedColumnFormula array="1">IFERROR(_FV($L4,"Price"),"")</calculatedColumnFormula>
    </tableColumn>
    <tableColumn id="8" xr3:uid="{C70F141E-A92F-964D-8AED-9EAF4B393C22}" name="52 Week HIGH" dataDxfId="33">
      <calculatedColumnFormula array="1">IFERROR(_FV($L4,"52 week high",TRUE),"")</calculatedColumnFormula>
    </tableColumn>
    <tableColumn id="9" xr3:uid="{21918FA3-CB55-8D44-8DA4-76AF2157C01E}" name="52 WEEK LOW" dataDxfId="32">
      <calculatedColumnFormula array="1">IFERROR(_FV($L4,"52 week low",TRUE),"")</calculatedColumnFormula>
    </tableColumn>
    <tableColumn id="10" xr3:uid="{2A367824-5CBD-1B42-AE48-78BCE95E49B5}" name="P/E" dataDxfId="31">
      <calculatedColumnFormula array="1">IFERROR(_FV($L4,"P/E",TRUE),"")</calculatedColumnFormula>
    </tableColumn>
    <tableColumn id="11" xr3:uid="{7DFE7E19-71D3-D74C-934E-C2DADD2C9FF1}" name="EPS" totalsRowFunction="count" dataDxfId="30">
      <calculatedColumnFormula>Table510118[[#This Row],[CURRENT PRICE]]/Table510118[[#This Row],[P/E]]</calculatedColumnFormula>
    </tableColumn>
    <tableColumn id="21" xr3:uid="{E01B48C2-61B5-2546-AC1C-C6F0813CA1FA}" name="Stock Beta Vs" dataDxfId="29" totalsRowDxfId="28">
      <calculatedColumnFormula array="1">IFERROR(_FV($L4,"Beta"),"")</calculatedColumnFormula>
    </tableColumn>
    <tableColumn id="22" xr3:uid="{F816CA63-2A19-3D4F-9ED8-B43E890A417C}" name="Exchange" dataDxfId="27" totalsRowDxfId="26">
      <calculatedColumnFormula array="1">IFERROR(_FV($L4,"Exchange"),"")</calculatedColumnFormula>
    </tableColumn>
    <tableColumn id="18" xr3:uid="{A969E9D9-A8DD-C74D-B070-DFB48A34FF52}" name="Capital Gain/Loss" dataDxfId="25" totalsRowDxfId="24">
      <calculatedColumnFormula>Table510118[[#This Row],[BUY PRICE]]-Table510118[[#This Row],[CURRENT PRICE]]</calculatedColumnFormula>
    </tableColumn>
    <tableColumn id="19" xr3:uid="{E5EFDDF6-2F6C-5941-97E1-751788794729}" name="Total Capital" dataDxfId="23" totalsRowDxfId="22">
      <calculatedColumnFormula>Table510118[[#This Row],[QUANTITY]]*Table510118[[#This Row],[CURRENT PRICE]]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271EE57-9736-E24E-986B-D96CF5F6CFCB}" name="Table16" displayName="Table16" ref="D18:L24" headerRowDxfId="21" dataDxfId="19" totalsRowDxfId="17" headerRowBorderDxfId="20" tableBorderDxfId="18">
  <autoFilter ref="D18:L24" xr:uid="{A271EE57-9736-E24E-986B-D96CF5F6CFC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453F4707-E93A-DF4B-9704-92E8B3732C6B}" name="Name" totalsRowLabel="Total" dataDxfId="16" totalsRowDxfId="15">
      <calculatedColumnFormula array="1">IFERROR(_FV(Table16[[#This Row],[Stock]],"Name"),"")</calculatedColumnFormula>
    </tableColumn>
    <tableColumn id="2" xr3:uid="{AC496943-D269-CD41-B85B-24C989A31036}" name="Stock" dataDxfId="14" totalsRowDxfId="13">
      <calculatedColumnFormula>IFERROR($M19,"")</calculatedColumnFormula>
    </tableColumn>
    <tableColumn id="3" xr3:uid="{436C3466-0146-5B49-8CDC-C05560FAF9E8}" name="Varience" dataDxfId="12" totalsRowDxfId="11">
      <calculatedColumnFormula array="1">_xlfn.LET(_xlpm.h,_xlfn.STOCKHISTORY(Table16[[#This Row],[Stock]],EDATE(TODAY(),$F$11),TODAY(),1,0,1),_xlpm.r,_xlfn.DROP(_xlpm.h,1)/_xlfn.DROP(_xlpm.h,-1)-1, _xlfn.VAR.S(_xlpm.r )*52)</calculatedColumnFormula>
    </tableColumn>
    <tableColumn id="4" xr3:uid="{F3AEF7B4-431E-3B49-B870-745BE7078FDF}" name="Standard Deviation" dataDxfId="10" totalsRowDxfId="9">
      <calculatedColumnFormula>Table16[[#This Row],[Varience]]^2</calculatedColumnFormula>
    </tableColumn>
    <tableColumn id="5" xr3:uid="{ECC523EA-F832-5A49-B4AA-87206C090793}" name="Covariance With Portfolio" dataDxfId="8" totalsRowDxfId="7">
      <calculatedColumnFormula array="1">_xlfn.LET(_xlpm.x,Table16[Weight],_xlpm.y,INDEX(_xlfn.ANCHORARRAY($U$14), ROW()-18, 0),SUMPRODUCT(TRANSPOSE(_xlpm.y),_xlpm.x))</calculatedColumnFormula>
    </tableColumn>
    <tableColumn id="6" xr3:uid="{A872C4D2-8EE2-0149-BFE0-03B875CCC11F}" name="Beta" dataDxfId="6" totalsRowDxfId="5">
      <calculatedColumnFormula>Table16[[#This Row],[Covariance With Portfolio]]/$I$8</calculatedColumnFormula>
    </tableColumn>
    <tableColumn id="8" xr3:uid="{0ECC5F9B-BB3C-9747-89F8-223E784AFEAD}" name="Arithmatic Returns" dataDxfId="4" totalsRowDxfId="3">
      <calculatedColumnFormula array="1">_xlfn.LET(_xlpm.h,_xlfn.STOCKHISTORY(Table16[[#This Row],[Stock]],EDATE(TODAY(),$F$11),TODAY(),1,0,1),_xlpm.r,_xlfn.DROP(_xlpm.h,1)/_xlfn.DROP(_xlpm.h,-1)-1,AVERAGE(_xlpm.r)*52)</calculatedColumnFormula>
    </tableColumn>
    <tableColumn id="9" xr3:uid="{E4037EC4-79B8-164F-AC51-E8E01B14AD1C}" name="Geometric Returns" dataDxfId="2" totalsRowDxfId="1">
      <calculatedColumnFormula array="1">_xlfn.LET(_xlpm.h,_xlfn.STOCKHISTORY(Table16[[#This Row],[Stock]],EDATE(TODAY(),$F$11),TODAY(),1,0,1),_xlpm.r,_xlfn.DROP(_xlpm.h,1)/_xlfn.DROP(_xlpm.h,-1)-1,GEOMEAN(1+_xlpm.r)^52-1)</calculatedColumnFormula>
    </tableColumn>
    <tableColumn id="14" xr3:uid="{C6F56525-66A1-F84F-9BAA-94115C40796A}" name="Weight" totalsRowFunction="sum" dataDxfId="0">
      <calculatedColumnFormula>O19/$S$4</calculatedColumnFormula>
    </tableColumn>
  </tableColumns>
  <tableStyleInfo name="TableStyleMedium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AD342-97E4-2F4D-80AF-7CB94401D11B}">
  <sheetPr codeName="Sheet1"/>
  <dimension ref="B2:J23"/>
  <sheetViews>
    <sheetView workbookViewId="0">
      <selection activeCell="L15" sqref="L15"/>
    </sheetView>
  </sheetViews>
  <sheetFormatPr baseColWidth="10" defaultRowHeight="16" x14ac:dyDescent="0.2"/>
  <sheetData>
    <row r="2" spans="2:10" ht="17" thickBot="1" x14ac:dyDescent="0.25"/>
    <row r="3" spans="2:10" x14ac:dyDescent="0.2">
      <c r="B3" s="108" t="s">
        <v>67</v>
      </c>
      <c r="C3" s="109"/>
      <c r="D3" s="109"/>
      <c r="E3" s="109"/>
      <c r="F3" s="109"/>
      <c r="G3" s="109"/>
      <c r="H3" s="109"/>
      <c r="I3" s="109"/>
      <c r="J3" s="110"/>
    </row>
    <row r="4" spans="2:10" x14ac:dyDescent="0.2">
      <c r="B4" s="111"/>
      <c r="C4" s="112"/>
      <c r="D4" s="112"/>
      <c r="E4" s="112"/>
      <c r="F4" s="112"/>
      <c r="G4" s="112"/>
      <c r="H4" s="112"/>
      <c r="I4" s="112"/>
      <c r="J4" s="113"/>
    </row>
    <row r="5" spans="2:10" x14ac:dyDescent="0.2">
      <c r="B5" s="111"/>
      <c r="C5" s="112"/>
      <c r="D5" s="112"/>
      <c r="E5" s="112"/>
      <c r="F5" s="112"/>
      <c r="G5" s="112"/>
      <c r="H5" s="112"/>
      <c r="I5" s="112"/>
      <c r="J5" s="113"/>
    </row>
    <row r="6" spans="2:10" x14ac:dyDescent="0.2">
      <c r="B6" s="111"/>
      <c r="C6" s="112"/>
      <c r="D6" s="112"/>
      <c r="E6" s="112"/>
      <c r="F6" s="112"/>
      <c r="G6" s="112"/>
      <c r="H6" s="112"/>
      <c r="I6" s="112"/>
      <c r="J6" s="113"/>
    </row>
    <row r="7" spans="2:10" x14ac:dyDescent="0.2">
      <c r="B7" s="111"/>
      <c r="C7" s="112"/>
      <c r="D7" s="112"/>
      <c r="E7" s="112"/>
      <c r="F7" s="112"/>
      <c r="G7" s="112"/>
      <c r="H7" s="112"/>
      <c r="I7" s="112"/>
      <c r="J7" s="113"/>
    </row>
    <row r="8" spans="2:10" x14ac:dyDescent="0.2">
      <c r="B8" s="111"/>
      <c r="C8" s="112"/>
      <c r="D8" s="112"/>
      <c r="E8" s="112"/>
      <c r="F8" s="112"/>
      <c r="G8" s="112"/>
      <c r="H8" s="112"/>
      <c r="I8" s="112"/>
      <c r="J8" s="113"/>
    </row>
    <row r="9" spans="2:10" x14ac:dyDescent="0.2">
      <c r="B9" s="111"/>
      <c r="C9" s="112"/>
      <c r="D9" s="112"/>
      <c r="E9" s="112"/>
      <c r="F9" s="112"/>
      <c r="G9" s="112"/>
      <c r="H9" s="112"/>
      <c r="I9" s="112"/>
      <c r="J9" s="113"/>
    </row>
    <row r="10" spans="2:10" x14ac:dyDescent="0.2">
      <c r="B10" s="111"/>
      <c r="C10" s="112"/>
      <c r="D10" s="112"/>
      <c r="E10" s="112"/>
      <c r="F10" s="112"/>
      <c r="G10" s="112"/>
      <c r="H10" s="112"/>
      <c r="I10" s="112"/>
      <c r="J10" s="113"/>
    </row>
    <row r="11" spans="2:10" x14ac:dyDescent="0.2">
      <c r="B11" s="111"/>
      <c r="C11" s="112"/>
      <c r="D11" s="112"/>
      <c r="E11" s="112"/>
      <c r="F11" s="112"/>
      <c r="G11" s="112"/>
      <c r="H11" s="112"/>
      <c r="I11" s="112"/>
      <c r="J11" s="113"/>
    </row>
    <row r="12" spans="2:10" x14ac:dyDescent="0.2">
      <c r="B12" s="111"/>
      <c r="C12" s="112"/>
      <c r="D12" s="112"/>
      <c r="E12" s="112"/>
      <c r="F12" s="112"/>
      <c r="G12" s="112"/>
      <c r="H12" s="112"/>
      <c r="I12" s="112"/>
      <c r="J12" s="113"/>
    </row>
    <row r="13" spans="2:10" x14ac:dyDescent="0.2">
      <c r="B13" s="111"/>
      <c r="C13" s="112"/>
      <c r="D13" s="112"/>
      <c r="E13" s="112"/>
      <c r="F13" s="112"/>
      <c r="G13" s="112"/>
      <c r="H13" s="112"/>
      <c r="I13" s="112"/>
      <c r="J13" s="113"/>
    </row>
    <row r="14" spans="2:10" x14ac:dyDescent="0.2">
      <c r="B14" s="111"/>
      <c r="C14" s="112"/>
      <c r="D14" s="112"/>
      <c r="E14" s="112"/>
      <c r="F14" s="112"/>
      <c r="G14" s="112"/>
      <c r="H14" s="112"/>
      <c r="I14" s="112"/>
      <c r="J14" s="113"/>
    </row>
    <row r="15" spans="2:10" x14ac:dyDescent="0.2">
      <c r="B15" s="111"/>
      <c r="C15" s="112"/>
      <c r="D15" s="112"/>
      <c r="E15" s="112"/>
      <c r="F15" s="112"/>
      <c r="G15" s="112"/>
      <c r="H15" s="112"/>
      <c r="I15" s="112"/>
      <c r="J15" s="113"/>
    </row>
    <row r="16" spans="2:10" x14ac:dyDescent="0.2">
      <c r="B16" s="111"/>
      <c r="C16" s="112"/>
      <c r="D16" s="112"/>
      <c r="E16" s="112"/>
      <c r="F16" s="112"/>
      <c r="G16" s="112"/>
      <c r="H16" s="112"/>
      <c r="I16" s="112"/>
      <c r="J16" s="113"/>
    </row>
    <row r="17" spans="2:10" x14ac:dyDescent="0.2">
      <c r="B17" s="111"/>
      <c r="C17" s="112"/>
      <c r="D17" s="112"/>
      <c r="E17" s="112"/>
      <c r="F17" s="112"/>
      <c r="G17" s="112"/>
      <c r="H17" s="112"/>
      <c r="I17" s="112"/>
      <c r="J17" s="113"/>
    </row>
    <row r="18" spans="2:10" x14ac:dyDescent="0.2">
      <c r="B18" s="111"/>
      <c r="C18" s="112"/>
      <c r="D18" s="112"/>
      <c r="E18" s="112"/>
      <c r="F18" s="112"/>
      <c r="G18" s="112"/>
      <c r="H18" s="112"/>
      <c r="I18" s="112"/>
      <c r="J18" s="113"/>
    </row>
    <row r="19" spans="2:10" x14ac:dyDescent="0.2">
      <c r="B19" s="111"/>
      <c r="C19" s="112"/>
      <c r="D19" s="112"/>
      <c r="E19" s="112"/>
      <c r="F19" s="112"/>
      <c r="G19" s="112"/>
      <c r="H19" s="112"/>
      <c r="I19" s="112"/>
      <c r="J19" s="113"/>
    </row>
    <row r="20" spans="2:10" x14ac:dyDescent="0.2">
      <c r="B20" s="111"/>
      <c r="C20" s="112"/>
      <c r="D20" s="112"/>
      <c r="E20" s="112"/>
      <c r="F20" s="112"/>
      <c r="G20" s="112"/>
      <c r="H20" s="112"/>
      <c r="I20" s="112"/>
      <c r="J20" s="113"/>
    </row>
    <row r="21" spans="2:10" x14ac:dyDescent="0.2">
      <c r="B21" s="111"/>
      <c r="C21" s="112"/>
      <c r="D21" s="112"/>
      <c r="E21" s="112"/>
      <c r="F21" s="112"/>
      <c r="G21" s="112"/>
      <c r="H21" s="112"/>
      <c r="I21" s="112"/>
      <c r="J21" s="113"/>
    </row>
    <row r="22" spans="2:10" x14ac:dyDescent="0.2">
      <c r="B22" s="111"/>
      <c r="C22" s="112"/>
      <c r="D22" s="112"/>
      <c r="E22" s="112"/>
      <c r="F22" s="112"/>
      <c r="G22" s="112"/>
      <c r="H22" s="112"/>
      <c r="I22" s="112"/>
      <c r="J22" s="113"/>
    </row>
    <row r="23" spans="2:10" ht="17" thickBot="1" x14ac:dyDescent="0.25">
      <c r="B23" s="114"/>
      <c r="C23" s="115"/>
      <c r="D23" s="115"/>
      <c r="E23" s="115"/>
      <c r="F23" s="115"/>
      <c r="G23" s="115"/>
      <c r="H23" s="115"/>
      <c r="I23" s="115"/>
      <c r="J23" s="116"/>
    </row>
  </sheetData>
  <mergeCells count="1">
    <mergeCell ref="B3:J2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51923-FC22-7847-8483-1512F5DFAA80}">
  <sheetPr codeName="Sheet7"/>
  <dimension ref="B1:AB27"/>
  <sheetViews>
    <sheetView zoomScale="68" zoomScaleNormal="100" workbookViewId="0">
      <selection activeCell="J27" sqref="J27"/>
    </sheetView>
  </sheetViews>
  <sheetFormatPr baseColWidth="10" defaultRowHeight="16" x14ac:dyDescent="0.2"/>
  <cols>
    <col min="5" max="5" width="14.6640625" bestFit="1" customWidth="1"/>
    <col min="6" max="6" width="9.6640625" bestFit="1" customWidth="1"/>
    <col min="7" max="7" width="11.6640625" bestFit="1" customWidth="1"/>
    <col min="8" max="8" width="7.6640625" bestFit="1" customWidth="1"/>
    <col min="9" max="9" width="9.6640625" customWidth="1"/>
    <col min="10" max="10" width="25" bestFit="1" customWidth="1"/>
    <col min="11" max="11" width="19.5" bestFit="1" customWidth="1"/>
    <col min="12" max="12" width="36.6640625" bestFit="1" customWidth="1"/>
    <col min="13" max="13" width="11.6640625" bestFit="1" customWidth="1"/>
    <col min="14" max="14" width="10" bestFit="1" customWidth="1"/>
    <col min="15" max="15" width="10.6640625" bestFit="1" customWidth="1"/>
    <col min="16" max="16" width="15.33203125" bestFit="1" customWidth="1"/>
    <col min="17" max="17" width="14" bestFit="1" customWidth="1"/>
    <col min="18" max="18" width="13.6640625" bestFit="1" customWidth="1"/>
    <col min="19" max="19" width="9.33203125" bestFit="1" customWidth="1"/>
    <col min="20" max="20" width="13.6640625" bestFit="1" customWidth="1"/>
    <col min="21" max="21" width="12.83203125" bestFit="1" customWidth="1"/>
    <col min="22" max="22" width="22.6640625" bestFit="1" customWidth="1"/>
    <col min="23" max="23" width="19" bestFit="1" customWidth="1"/>
    <col min="24" max="24" width="11.6640625" bestFit="1" customWidth="1"/>
  </cols>
  <sheetData>
    <row r="1" spans="2:28" ht="17" thickBot="1" x14ac:dyDescent="0.25">
      <c r="B1" s="1"/>
      <c r="C1" s="1"/>
      <c r="D1" s="1"/>
      <c r="E1" s="1"/>
      <c r="F1" s="1"/>
      <c r="G1" s="1"/>
      <c r="H1" s="1"/>
      <c r="I1" s="1"/>
      <c r="J1" s="1"/>
      <c r="K1" s="1"/>
      <c r="L1" s="1"/>
      <c r="M1" s="1"/>
      <c r="N1" s="1"/>
      <c r="O1" s="1"/>
      <c r="P1" s="1"/>
      <c r="Q1" s="1"/>
      <c r="R1" s="1"/>
      <c r="S1" s="1"/>
      <c r="T1" s="1"/>
    </row>
    <row r="2" spans="2:28" ht="23" thickBot="1" x14ac:dyDescent="0.25">
      <c r="B2" s="123" t="s">
        <v>18</v>
      </c>
      <c r="C2" s="124"/>
      <c r="D2" s="124"/>
      <c r="E2" s="124"/>
      <c r="F2" s="124"/>
      <c r="G2" s="124"/>
      <c r="H2" s="125"/>
      <c r="I2" s="2"/>
      <c r="J2" s="132" t="s">
        <v>10</v>
      </c>
      <c r="K2" s="133"/>
      <c r="L2" s="133"/>
      <c r="M2" s="133"/>
      <c r="N2" s="133"/>
      <c r="O2" s="134"/>
      <c r="P2" s="135" t="s">
        <v>17</v>
      </c>
      <c r="Q2" s="136"/>
      <c r="R2" s="136"/>
      <c r="S2" s="136"/>
      <c r="T2" s="137"/>
      <c r="U2" s="138" t="s">
        <v>23</v>
      </c>
      <c r="V2" s="138"/>
      <c r="W2" s="101" t="s">
        <v>33</v>
      </c>
      <c r="X2" s="102" t="s">
        <v>42</v>
      </c>
    </row>
    <row r="3" spans="2:28" ht="17" thickBot="1" x14ac:dyDescent="0.25">
      <c r="B3" s="126"/>
      <c r="C3" s="127"/>
      <c r="D3" s="127"/>
      <c r="E3" s="127"/>
      <c r="F3" s="127"/>
      <c r="G3" s="127"/>
      <c r="H3" s="128"/>
      <c r="I3" s="2"/>
      <c r="J3" s="7" t="s">
        <v>11</v>
      </c>
      <c r="K3" s="8" t="s">
        <v>55</v>
      </c>
      <c r="L3" s="7" t="s">
        <v>0</v>
      </c>
      <c r="M3" s="22" t="s">
        <v>1</v>
      </c>
      <c r="N3" s="7" t="s">
        <v>2</v>
      </c>
      <c r="O3" s="8" t="s">
        <v>24</v>
      </c>
      <c r="P3" s="7" t="s">
        <v>12</v>
      </c>
      <c r="Q3" s="7" t="s">
        <v>14</v>
      </c>
      <c r="R3" s="7" t="s">
        <v>13</v>
      </c>
      <c r="S3" s="7" t="s">
        <v>15</v>
      </c>
      <c r="T3" s="7" t="s">
        <v>16</v>
      </c>
      <c r="U3" s="87" t="s">
        <v>21</v>
      </c>
      <c r="V3" s="88" t="s">
        <v>22</v>
      </c>
      <c r="W3" s="87" t="s">
        <v>28</v>
      </c>
      <c r="X3" s="88" t="s">
        <v>41</v>
      </c>
    </row>
    <row r="4" spans="2:28" ht="17" thickBot="1" x14ac:dyDescent="0.25">
      <c r="B4" s="129"/>
      <c r="C4" s="130"/>
      <c r="D4" s="130"/>
      <c r="E4" s="130"/>
      <c r="F4" s="130"/>
      <c r="G4" s="130"/>
      <c r="H4" s="131"/>
      <c r="I4" s="2"/>
      <c r="J4" s="25" t="str" cm="1">
        <f t="array" ref="J4">IFERROR(_FV($L4,"Name"),"")</f>
        <v/>
      </c>
      <c r="K4" s="75" t="e" cm="1">
        <f t="array" ref="K4">(IFERROR(_FV($L4,"Market cap",TRUE),""))/1000000000</f>
        <v>#VALUE!</v>
      </c>
      <c r="L4" s="80"/>
      <c r="M4" s="77"/>
      <c r="N4" s="24"/>
      <c r="O4" s="73"/>
      <c r="P4" s="16" t="str" cm="1">
        <f t="array" ref="P4">IFERROR(_FV($L4,"Price"),"")</f>
        <v/>
      </c>
      <c r="Q4" s="17" t="str" cm="1">
        <f t="array" ref="Q4">IFERROR(_FV($L4,"52 week high",TRUE),"")</f>
        <v/>
      </c>
      <c r="R4" s="17" t="str" cm="1">
        <f t="array" ref="R4">IFERROR(_FV($L4,"52 week low",TRUE),"")</f>
        <v/>
      </c>
      <c r="S4" s="17" t="str" cm="1">
        <f t="array" ref="S4">IFERROR(_FV($L4,"P/E",TRUE),"")</f>
        <v/>
      </c>
      <c r="T4" s="84" t="e">
        <f>Table51011821[[#This Row],[CURRENT PRICE]]/Table51011821[[#This Row],[P/E]]</f>
        <v>#VALUE!</v>
      </c>
      <c r="U4" s="89" t="str" cm="1">
        <f t="array" ref="U4">IFERROR(_FV($L4,"Beta"),"")</f>
        <v/>
      </c>
      <c r="V4" s="94" t="str" cm="1">
        <f t="array" ref="V4">IFERROR(_FV($L4,"Exchange"),"")</f>
        <v/>
      </c>
      <c r="W4" s="99" t="e">
        <f>Table51011821[[#This Row],[BUY PRICE]]-Table51011821[[#This Row],[CURRENT PRICE]]</f>
        <v>#VALUE!</v>
      </c>
      <c r="X4" s="90" t="e">
        <f>Table51011821[[#This Row],[QUANTITY]]*Table51011821[[#This Row],[CURRENT PRICE]]</f>
        <v>#VALUE!</v>
      </c>
      <c r="Z4" s="9"/>
      <c r="AA4" s="10"/>
      <c r="AB4" s="11"/>
    </row>
    <row r="5" spans="2:28" ht="17" thickBot="1" x14ac:dyDescent="0.25">
      <c r="B5" s="139"/>
      <c r="C5" s="140"/>
      <c r="D5" s="140"/>
      <c r="E5" s="141"/>
      <c r="F5" s="141"/>
      <c r="G5" s="141"/>
      <c r="H5" s="142"/>
      <c r="I5" s="2"/>
    </row>
    <row r="6" spans="2:28" ht="20" thickBot="1" x14ac:dyDescent="0.25">
      <c r="B6" s="143" t="s">
        <v>4</v>
      </c>
      <c r="C6" s="144"/>
      <c r="D6" s="140"/>
      <c r="E6" s="4" t="s">
        <v>0</v>
      </c>
      <c r="F6" s="4" t="s">
        <v>1</v>
      </c>
      <c r="G6" s="4" t="s">
        <v>2</v>
      </c>
      <c r="H6" s="4" t="s">
        <v>3</v>
      </c>
      <c r="I6" s="2"/>
    </row>
    <row r="7" spans="2:28" ht="17" thickBot="1" x14ac:dyDescent="0.25">
      <c r="B7" s="143"/>
      <c r="C7" s="144"/>
      <c r="D7" s="140"/>
      <c r="E7" s="107"/>
      <c r="F7" s="104">
        <v>46036</v>
      </c>
      <c r="G7" s="55">
        <v>1</v>
      </c>
      <c r="H7" s="103"/>
      <c r="I7" s="2"/>
    </row>
    <row r="8" spans="2:28" ht="22" x14ac:dyDescent="0.2">
      <c r="B8" s="145"/>
      <c r="C8" s="146"/>
      <c r="D8" s="140"/>
      <c r="E8" s="147"/>
      <c r="F8" s="147"/>
      <c r="G8" s="147"/>
      <c r="H8" s="148"/>
      <c r="I8" s="2"/>
      <c r="J8" s="2"/>
      <c r="K8" s="2"/>
      <c r="L8" s="2"/>
      <c r="M8" s="2"/>
      <c r="N8" s="2"/>
      <c r="O8" s="2"/>
      <c r="P8" s="2"/>
      <c r="Q8" s="2"/>
      <c r="R8" s="2"/>
      <c r="S8" s="2"/>
      <c r="T8" s="2"/>
    </row>
    <row r="9" spans="2:28" ht="16" customHeight="1" x14ac:dyDescent="0.2">
      <c r="B9" s="143" t="s">
        <v>5</v>
      </c>
      <c r="C9" s="144"/>
      <c r="D9" s="140"/>
      <c r="E9" s="149" t="s">
        <v>6</v>
      </c>
      <c r="F9" s="140"/>
      <c r="G9" s="150" t="s">
        <v>9</v>
      </c>
      <c r="H9" s="120"/>
      <c r="I9" s="2"/>
      <c r="J9" s="2"/>
      <c r="K9" s="2"/>
      <c r="L9" s="2"/>
      <c r="M9" s="2"/>
      <c r="N9" s="2"/>
      <c r="O9" s="2"/>
      <c r="P9" s="2"/>
      <c r="Q9" s="2"/>
      <c r="R9" s="2"/>
      <c r="S9" s="2"/>
      <c r="W9" s="97"/>
      <c r="X9" s="97"/>
    </row>
    <row r="10" spans="2:28" ht="16" customHeight="1" x14ac:dyDescent="0.2">
      <c r="B10" s="143"/>
      <c r="C10" s="144"/>
      <c r="D10" s="140"/>
      <c r="E10" s="117"/>
      <c r="F10" s="140"/>
      <c r="G10" s="119"/>
      <c r="H10" s="120"/>
      <c r="I10" s="2"/>
      <c r="J10" s="2"/>
      <c r="K10" s="2"/>
      <c r="L10" s="2"/>
      <c r="M10" s="2"/>
      <c r="N10" s="2"/>
      <c r="O10" s="2"/>
      <c r="P10" s="2"/>
      <c r="R10" s="2"/>
      <c r="S10" s="2"/>
    </row>
    <row r="11" spans="2:28" ht="22" customHeight="1" x14ac:dyDescent="0.2">
      <c r="B11" s="145"/>
      <c r="C11" s="146"/>
      <c r="D11" s="140"/>
      <c r="E11" s="106"/>
      <c r="F11" s="140"/>
      <c r="G11" s="140"/>
      <c r="H11" s="153"/>
      <c r="I11" s="2"/>
      <c r="J11" s="6"/>
      <c r="K11" s="2"/>
      <c r="L11" s="2"/>
      <c r="M11" s="2"/>
      <c r="N11" s="2"/>
      <c r="O11" s="2"/>
      <c r="P11" s="2"/>
      <c r="Q11" s="2"/>
      <c r="R11" s="2"/>
      <c r="S11" s="2"/>
      <c r="T11" s="2"/>
    </row>
    <row r="12" spans="2:28" ht="16" customHeight="1" x14ac:dyDescent="0.2">
      <c r="B12" s="145"/>
      <c r="C12" s="146"/>
      <c r="D12" s="140"/>
      <c r="E12" s="117" t="s">
        <v>7</v>
      </c>
      <c r="F12" s="140"/>
      <c r="G12" s="119" t="s">
        <v>8</v>
      </c>
      <c r="H12" s="120"/>
      <c r="I12" s="2"/>
      <c r="J12" s="6"/>
      <c r="K12" s="2"/>
      <c r="L12" s="2"/>
      <c r="M12" s="2"/>
      <c r="N12" s="2"/>
      <c r="O12" s="2"/>
      <c r="P12" s="2"/>
      <c r="Q12" s="2"/>
      <c r="R12" s="2"/>
      <c r="S12" s="2"/>
      <c r="T12" s="2"/>
    </row>
    <row r="13" spans="2:28" ht="16" customHeight="1" thickBot="1" x14ac:dyDescent="0.25">
      <c r="B13" s="151"/>
      <c r="C13" s="152"/>
      <c r="D13" s="141"/>
      <c r="E13" s="118"/>
      <c r="F13" s="141"/>
      <c r="G13" s="121"/>
      <c r="H13" s="122"/>
      <c r="I13" s="2"/>
      <c r="J13" s="2"/>
      <c r="K13" s="2"/>
      <c r="L13" s="2"/>
      <c r="M13" s="2"/>
      <c r="N13" s="2"/>
      <c r="O13" s="2"/>
      <c r="P13" s="2"/>
      <c r="Q13" s="2"/>
      <c r="R13" s="2"/>
      <c r="S13" s="2"/>
      <c r="T13" s="2"/>
    </row>
    <row r="14" spans="2:28" x14ac:dyDescent="0.2">
      <c r="D14" s="2"/>
      <c r="E14" s="2"/>
      <c r="F14" s="2"/>
      <c r="G14" s="2"/>
      <c r="H14" s="2"/>
      <c r="I14" s="2"/>
      <c r="J14" s="2"/>
      <c r="K14" s="2"/>
      <c r="L14" s="2"/>
      <c r="M14" s="2"/>
      <c r="N14" s="2"/>
      <c r="O14" s="2"/>
      <c r="P14" s="2"/>
      <c r="Q14" s="2"/>
      <c r="R14" s="2"/>
      <c r="S14" s="2"/>
      <c r="T14" s="2"/>
    </row>
    <row r="15" spans="2:28" ht="16" customHeight="1" x14ac:dyDescent="0.2">
      <c r="B15" s="2"/>
      <c r="C15" s="2"/>
      <c r="D15" s="2"/>
      <c r="E15" s="2"/>
      <c r="F15" s="2"/>
      <c r="G15" s="2"/>
      <c r="H15" s="2"/>
      <c r="I15" s="2"/>
      <c r="K15" s="2"/>
      <c r="L15" s="2"/>
      <c r="M15" s="2"/>
      <c r="N15" s="2"/>
      <c r="O15" s="2"/>
      <c r="P15" s="2"/>
      <c r="Q15" s="2"/>
      <c r="R15" s="2"/>
      <c r="S15" s="2"/>
      <c r="T15" s="2"/>
    </row>
    <row r="16" spans="2:28" ht="16" customHeight="1"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1"/>
      <c r="C18" s="1"/>
      <c r="D18" s="1"/>
      <c r="E18" s="1"/>
      <c r="F18" s="1"/>
      <c r="G18" s="1"/>
      <c r="H18" s="1"/>
      <c r="I18" s="1"/>
      <c r="J18" s="2"/>
      <c r="K18" s="2"/>
      <c r="L18" s="2"/>
      <c r="M18" s="2"/>
      <c r="N18" s="5"/>
      <c r="O18" s="2"/>
      <c r="P18" s="2"/>
      <c r="Q18" s="2"/>
      <c r="R18" s="2"/>
      <c r="S18" s="2"/>
      <c r="T18" s="2"/>
    </row>
    <row r="19" spans="2:20" x14ac:dyDescent="0.2">
      <c r="B19" s="1"/>
      <c r="C19" s="1"/>
      <c r="D19" s="1"/>
      <c r="E19" s="1"/>
      <c r="F19" s="1"/>
      <c r="G19" s="1"/>
      <c r="H19" s="1"/>
      <c r="I19" s="1"/>
      <c r="J19" s="2"/>
      <c r="K19" s="2"/>
      <c r="L19" s="2"/>
      <c r="M19" s="2"/>
      <c r="N19" s="2"/>
      <c r="O19" s="2"/>
      <c r="P19" s="2"/>
      <c r="Q19" s="2"/>
      <c r="R19" s="2"/>
      <c r="S19" s="2"/>
      <c r="T19" s="2"/>
    </row>
    <row r="20" spans="2:20" x14ac:dyDescent="0.2">
      <c r="B20" s="1"/>
      <c r="C20" s="1"/>
      <c r="D20" s="1"/>
      <c r="E20" s="1"/>
      <c r="F20" s="1"/>
      <c r="G20" s="1"/>
      <c r="H20" s="1"/>
      <c r="I20" s="1"/>
      <c r="J20" s="1"/>
      <c r="K20" s="1"/>
      <c r="L20" s="1"/>
      <c r="M20" s="1"/>
      <c r="N20" s="1"/>
      <c r="O20" s="1"/>
      <c r="P20" s="1"/>
      <c r="Q20" s="1"/>
      <c r="R20" s="1"/>
      <c r="S20" s="1"/>
      <c r="T20" s="1"/>
    </row>
    <row r="21" spans="2:20" x14ac:dyDescent="0.2">
      <c r="B21" s="1"/>
      <c r="C21" s="1"/>
      <c r="D21" s="1"/>
      <c r="E21" s="1"/>
      <c r="F21" s="1"/>
      <c r="H21" s="1"/>
      <c r="I21" s="1"/>
      <c r="J21" s="1"/>
      <c r="K21" s="1"/>
      <c r="L21" s="1"/>
      <c r="M21" s="1"/>
      <c r="N21" s="1"/>
      <c r="O21" s="1"/>
      <c r="P21" s="1"/>
      <c r="Q21" s="1"/>
      <c r="R21" s="1"/>
      <c r="S21" s="1"/>
      <c r="T21" s="1"/>
    </row>
    <row r="22" spans="2:20" x14ac:dyDescent="0.2">
      <c r="B22" s="1"/>
      <c r="C22" s="1"/>
      <c r="D22" s="1"/>
      <c r="E22" s="1"/>
      <c r="F22" s="1"/>
      <c r="G22" s="1"/>
      <c r="H22" s="1"/>
      <c r="I22" s="1"/>
      <c r="J22" s="1"/>
      <c r="K22" s="1"/>
      <c r="L22" s="1"/>
      <c r="M22" s="1"/>
      <c r="N22" s="1"/>
      <c r="O22" s="1"/>
      <c r="P22" s="1"/>
      <c r="Q22" s="1"/>
      <c r="R22" s="1"/>
      <c r="S22" s="1"/>
      <c r="T22" s="1"/>
    </row>
    <row r="23" spans="2:20" x14ac:dyDescent="0.2">
      <c r="B23" s="1"/>
      <c r="C23" s="1"/>
      <c r="D23" s="1"/>
      <c r="E23" s="1"/>
      <c r="F23" s="1"/>
      <c r="G23" s="1"/>
      <c r="H23" s="1"/>
      <c r="I23" s="1"/>
      <c r="J23" s="1"/>
      <c r="K23" s="1"/>
      <c r="L23" s="1"/>
      <c r="M23" s="1"/>
      <c r="N23" s="1"/>
      <c r="O23" s="1"/>
      <c r="P23" s="1"/>
      <c r="Q23" s="1"/>
      <c r="R23" s="1"/>
      <c r="S23" s="1"/>
      <c r="T23" s="1"/>
    </row>
    <row r="24" spans="2:20" x14ac:dyDescent="0.2">
      <c r="B24" s="1"/>
      <c r="C24" s="1"/>
      <c r="D24" s="1"/>
      <c r="E24" s="1"/>
      <c r="F24" s="1"/>
      <c r="G24" s="1"/>
      <c r="H24" s="1"/>
      <c r="I24" s="1"/>
      <c r="J24" s="1"/>
      <c r="K24" s="1"/>
      <c r="L24" s="1"/>
      <c r="M24" s="1"/>
      <c r="N24" s="1"/>
      <c r="O24" s="1"/>
      <c r="P24" s="1"/>
      <c r="Q24" s="1"/>
      <c r="R24" s="1"/>
      <c r="S24" s="1"/>
      <c r="T24" s="1"/>
    </row>
    <row r="25" spans="2:20" x14ac:dyDescent="0.2">
      <c r="B25" s="1"/>
      <c r="C25" s="1"/>
      <c r="D25" s="1"/>
      <c r="E25" s="1"/>
      <c r="F25" s="1"/>
      <c r="G25" s="1"/>
      <c r="H25" s="1"/>
      <c r="I25" s="1"/>
      <c r="J25" s="1"/>
      <c r="K25" s="1"/>
      <c r="L25" s="1"/>
      <c r="M25" s="1"/>
      <c r="N25" s="1"/>
      <c r="O25" s="1"/>
      <c r="P25" s="1"/>
      <c r="Q25" s="1"/>
      <c r="R25" s="1"/>
      <c r="S25" s="1"/>
      <c r="T25" s="1"/>
    </row>
    <row r="26" spans="2:20" x14ac:dyDescent="0.2">
      <c r="J26" s="1"/>
      <c r="K26" s="1"/>
      <c r="L26" s="1"/>
      <c r="M26" s="1"/>
      <c r="N26" s="1"/>
      <c r="O26" s="1"/>
      <c r="P26" s="1"/>
      <c r="Q26" s="1"/>
      <c r="R26" s="1"/>
      <c r="S26" s="1"/>
      <c r="T26" s="1"/>
    </row>
    <row r="27" spans="2:20" x14ac:dyDescent="0.2">
      <c r="J27" s="1"/>
      <c r="K27" s="1"/>
      <c r="L27" s="1"/>
      <c r="M27" s="1"/>
      <c r="N27" s="1"/>
      <c r="O27" s="1"/>
      <c r="P27" s="1"/>
      <c r="Q27" s="1"/>
      <c r="R27" s="1"/>
      <c r="S27" s="1"/>
      <c r="T27" s="1"/>
    </row>
  </sheetData>
  <mergeCells count="18">
    <mergeCell ref="U2:V2"/>
    <mergeCell ref="B5:C5"/>
    <mergeCell ref="D5:D13"/>
    <mergeCell ref="E5:H5"/>
    <mergeCell ref="B6:C7"/>
    <mergeCell ref="B8:C8"/>
    <mergeCell ref="E8:H8"/>
    <mergeCell ref="B9:C10"/>
    <mergeCell ref="E9:E10"/>
    <mergeCell ref="F9:F13"/>
    <mergeCell ref="G9:H10"/>
    <mergeCell ref="B11:C13"/>
    <mergeCell ref="G11:H11"/>
    <mergeCell ref="E12:E13"/>
    <mergeCell ref="G12:H13"/>
    <mergeCell ref="B2:H4"/>
    <mergeCell ref="J2:O2"/>
    <mergeCell ref="P2:T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RefreshAllData">
                <anchor moveWithCells="1" sizeWithCells="1">
                  <from>
                    <xdr:col>6</xdr:col>
                    <xdr:colOff>12700</xdr:colOff>
                    <xdr:row>10</xdr:row>
                    <xdr:rowOff>279400</xdr:rowOff>
                  </from>
                  <to>
                    <xdr:col>8</xdr:col>
                    <xdr:colOff>12700</xdr:colOff>
                    <xdr:row>13</xdr:row>
                    <xdr:rowOff>12700</xdr:rowOff>
                  </to>
                </anchor>
              </controlPr>
            </control>
          </mc:Choice>
        </mc:AlternateContent>
        <mc:AlternateContent xmlns:mc="http://schemas.openxmlformats.org/markup-compatibility/2006">
          <mc:Choice Requires="x14">
            <control shapeId="50178" r:id="rId4" name="Button 2">
              <controlPr defaultSize="0" print="0" autoFill="0" autoPict="0" macro="[0]!AddStock_CopyPasteInputs">
                <anchor moveWithCells="1" sizeWithCells="1">
                  <from>
                    <xdr:col>1</xdr:col>
                    <xdr:colOff>825500</xdr:colOff>
                    <xdr:row>5</xdr:row>
                    <xdr:rowOff>12700</xdr:rowOff>
                  </from>
                  <to>
                    <xdr:col>3</xdr:col>
                    <xdr:colOff>12700</xdr:colOff>
                    <xdr:row>7</xdr:row>
                    <xdr:rowOff>12700</xdr:rowOff>
                  </to>
                </anchor>
              </controlPr>
            </control>
          </mc:Choice>
        </mc:AlternateContent>
        <mc:AlternateContent xmlns:mc="http://schemas.openxmlformats.org/markup-compatibility/2006">
          <mc:Choice Requires="x14">
            <control shapeId="50179" r:id="rId5" name="Button 3">
              <controlPr defaultSize="0" print="0" autoFill="0" autoPict="0" macro="[0]!AutoFit_Sheet_Width_Button">
                <anchor moveWithCells="1" sizeWithCells="1">
                  <from>
                    <xdr:col>5</xdr:col>
                    <xdr:colOff>977900</xdr:colOff>
                    <xdr:row>8</xdr:row>
                    <xdr:rowOff>0</xdr:rowOff>
                  </from>
                  <to>
                    <xdr:col>8</xdr:col>
                    <xdr:colOff>12700</xdr:colOff>
                    <xdr:row>10</xdr:row>
                    <xdr:rowOff>12700</xdr:rowOff>
                  </to>
                </anchor>
              </controlPr>
            </control>
          </mc:Choice>
        </mc:AlternateContent>
        <mc:AlternateContent xmlns:mc="http://schemas.openxmlformats.org/markup-compatibility/2006">
          <mc:Choice Requires="x14">
            <control shapeId="50180" r:id="rId6" name="Button 4">
              <controlPr defaultSize="0" print="0" autoFill="0" autoPict="0" macro="[0]!RemoveStock_FromFirstTable">
                <anchor moveWithCells="1" sizeWithCells="1">
                  <from>
                    <xdr:col>1</xdr:col>
                    <xdr:colOff>825500</xdr:colOff>
                    <xdr:row>7</xdr:row>
                    <xdr:rowOff>279400</xdr:rowOff>
                  </from>
                  <to>
                    <xdr:col>3</xdr:col>
                    <xdr:colOff>12700</xdr:colOff>
                    <xdr:row>10</xdr:row>
                    <xdr:rowOff>12700</xdr:rowOff>
                  </to>
                </anchor>
              </controlPr>
            </control>
          </mc:Choice>
        </mc:AlternateContent>
        <mc:AlternateContent xmlns:mc="http://schemas.openxmlformats.org/markup-compatibility/2006">
          <mc:Choice Requires="x14">
            <control shapeId="50181" r:id="rId7" name="Button 5">
              <controlPr defaultSize="0" print="0" autoFill="0" autoPict="0" macro="[0]!Duplicate_Current_Tab">
                <anchor moveWithCells="1" sizeWithCells="1">
                  <from>
                    <xdr:col>3</xdr:col>
                    <xdr:colOff>812800</xdr:colOff>
                    <xdr:row>8</xdr:row>
                    <xdr:rowOff>12700</xdr:rowOff>
                  </from>
                  <to>
                    <xdr:col>5</xdr:col>
                    <xdr:colOff>12700</xdr:colOff>
                    <xdr:row>10</xdr:row>
                    <xdr:rowOff>12700</xdr:rowOff>
                  </to>
                </anchor>
              </controlPr>
            </control>
          </mc:Choice>
        </mc:AlternateContent>
        <mc:AlternateContent xmlns:mc="http://schemas.openxmlformats.org/markup-compatibility/2006">
          <mc:Choice Requires="x14">
            <control shapeId="50182" r:id="rId8" name="Button 6">
              <controlPr defaultSize="0" print="0" autoFill="0" autoPict="0" macro="[0]!Delete_Current_Tab">
                <anchor moveWithCells="1" sizeWithCells="1">
                  <from>
                    <xdr:col>4</xdr:col>
                    <xdr:colOff>12700</xdr:colOff>
                    <xdr:row>11</xdr:row>
                    <xdr:rowOff>12700</xdr:rowOff>
                  </from>
                  <to>
                    <xdr:col>5</xdr:col>
                    <xdr:colOff>12700</xdr:colOff>
                    <xdr:row>13</xdr:row>
                    <xdr:rowOff>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8A18F-DDD8-1449-97D9-567D638FADB9}">
  <sheetPr codeName="Sheet6"/>
  <dimension ref="B1:AB32"/>
  <sheetViews>
    <sheetView zoomScale="68" zoomScaleNormal="100" workbookViewId="0">
      <selection activeCell="E19" sqref="E19"/>
    </sheetView>
  </sheetViews>
  <sheetFormatPr baseColWidth="10" defaultRowHeight="16" x14ac:dyDescent="0.2"/>
  <cols>
    <col min="5" max="5" width="14.6640625" bestFit="1" customWidth="1"/>
    <col min="6" max="6" width="9.6640625" bestFit="1" customWidth="1"/>
    <col min="7" max="7" width="11.6640625" bestFit="1" customWidth="1"/>
    <col min="8" max="8" width="7.6640625" bestFit="1" customWidth="1"/>
    <col min="9" max="9" width="9.6640625" customWidth="1"/>
    <col min="10" max="10" width="25" bestFit="1" customWidth="1"/>
    <col min="11" max="11" width="19.5" bestFit="1" customWidth="1"/>
    <col min="12" max="12" width="36.6640625" bestFit="1" customWidth="1"/>
    <col min="13" max="13" width="11.6640625" bestFit="1" customWidth="1"/>
    <col min="14" max="14" width="10" bestFit="1" customWidth="1"/>
    <col min="15" max="15" width="10.6640625" bestFit="1" customWidth="1"/>
    <col min="16" max="16" width="15.33203125" bestFit="1" customWidth="1"/>
    <col min="17" max="17" width="14" bestFit="1" customWidth="1"/>
    <col min="18" max="18" width="13.6640625" bestFit="1" customWidth="1"/>
    <col min="19" max="19" width="9.33203125" bestFit="1" customWidth="1"/>
    <col min="20" max="20" width="13.6640625" bestFit="1" customWidth="1"/>
    <col min="21" max="21" width="12.83203125" bestFit="1" customWidth="1"/>
    <col min="22" max="22" width="22.6640625" bestFit="1" customWidth="1"/>
    <col min="23" max="23" width="19" bestFit="1" customWidth="1"/>
    <col min="24" max="24" width="11.6640625" bestFit="1" customWidth="1"/>
  </cols>
  <sheetData>
    <row r="1" spans="2:28" ht="17" thickBot="1" x14ac:dyDescent="0.25">
      <c r="B1" s="1"/>
      <c r="C1" s="1"/>
      <c r="D1" s="1"/>
      <c r="E1" s="1"/>
      <c r="F1" s="1"/>
      <c r="G1" s="1"/>
      <c r="H1" s="1"/>
      <c r="I1" s="1"/>
      <c r="J1" s="1"/>
      <c r="K1" s="1"/>
      <c r="L1" s="1"/>
      <c r="M1" s="1"/>
      <c r="N1" s="1"/>
      <c r="O1" s="1"/>
      <c r="P1" s="1"/>
      <c r="Q1" s="1"/>
      <c r="R1" s="1"/>
      <c r="S1" s="1"/>
      <c r="T1" s="1"/>
    </row>
    <row r="2" spans="2:28" ht="23" thickBot="1" x14ac:dyDescent="0.25">
      <c r="B2" s="123" t="s">
        <v>18</v>
      </c>
      <c r="C2" s="124"/>
      <c r="D2" s="124"/>
      <c r="E2" s="124"/>
      <c r="F2" s="124"/>
      <c r="G2" s="124"/>
      <c r="H2" s="125"/>
      <c r="I2" s="2"/>
      <c r="J2" s="132" t="s">
        <v>10</v>
      </c>
      <c r="K2" s="133"/>
      <c r="L2" s="133"/>
      <c r="M2" s="133"/>
      <c r="N2" s="133"/>
      <c r="O2" s="134"/>
      <c r="P2" s="135" t="s">
        <v>17</v>
      </c>
      <c r="Q2" s="136"/>
      <c r="R2" s="136"/>
      <c r="S2" s="136"/>
      <c r="T2" s="137"/>
      <c r="U2" s="138" t="s">
        <v>23</v>
      </c>
      <c r="V2" s="138"/>
      <c r="W2" s="101" t="s">
        <v>33</v>
      </c>
      <c r="X2" s="102" t="s">
        <v>42</v>
      </c>
    </row>
    <row r="3" spans="2:28" ht="17" thickBot="1" x14ac:dyDescent="0.25">
      <c r="B3" s="126"/>
      <c r="C3" s="127"/>
      <c r="D3" s="127"/>
      <c r="E3" s="127"/>
      <c r="F3" s="127"/>
      <c r="G3" s="127"/>
      <c r="H3" s="128"/>
      <c r="I3" s="2"/>
      <c r="J3" s="7" t="s">
        <v>11</v>
      </c>
      <c r="K3" s="8" t="s">
        <v>55</v>
      </c>
      <c r="L3" s="7" t="s">
        <v>0</v>
      </c>
      <c r="M3" s="22" t="s">
        <v>1</v>
      </c>
      <c r="N3" s="7" t="s">
        <v>2</v>
      </c>
      <c r="O3" s="8" t="s">
        <v>24</v>
      </c>
      <c r="P3" s="7" t="s">
        <v>12</v>
      </c>
      <c r="Q3" s="7" t="s">
        <v>14</v>
      </c>
      <c r="R3" s="7" t="s">
        <v>13</v>
      </c>
      <c r="S3" s="7" t="s">
        <v>15</v>
      </c>
      <c r="T3" s="7" t="s">
        <v>16</v>
      </c>
      <c r="U3" s="87" t="s">
        <v>21</v>
      </c>
      <c r="V3" s="88" t="s">
        <v>22</v>
      </c>
      <c r="W3" s="87" t="s">
        <v>28</v>
      </c>
      <c r="X3" s="88" t="s">
        <v>41</v>
      </c>
    </row>
    <row r="4" spans="2:28" ht="17" thickBot="1" x14ac:dyDescent="0.25">
      <c r="B4" s="129"/>
      <c r="C4" s="130"/>
      <c r="D4" s="130"/>
      <c r="E4" s="130"/>
      <c r="F4" s="130"/>
      <c r="G4" s="130"/>
      <c r="H4" s="131"/>
      <c r="I4" s="2"/>
      <c r="J4" s="25" t="str" cm="1">
        <f t="array" aca="1" ref="J4" ca="1">IFERROR(_FV($L4,"Name"),"")</f>
        <v>THE COCA-COLA COMPANY</v>
      </c>
      <c r="K4" s="75" cm="1">
        <f t="array" aca="1" ref="K4" ca="1">(IFERROR(_FV($L4,"Market cap",TRUE),""))/1000000000</f>
        <v>321.97543365000001</v>
      </c>
      <c r="L4" s="80" t="e" vm="1">
        <v>#VALUE!</v>
      </c>
      <c r="M4" s="77">
        <v>46017</v>
      </c>
      <c r="N4" s="24">
        <v>1</v>
      </c>
      <c r="O4" s="73">
        <v>70.11</v>
      </c>
      <c r="P4" s="16" cm="1">
        <f t="array" aca="1" ref="P4" ca="1">IFERROR(_FV($L4,"Price"),"")</f>
        <v>74.849999999999994</v>
      </c>
      <c r="Q4" s="17" cm="1">
        <f t="array" aca="1" ref="Q4" ca="1">IFERROR(_FV($L4,"52 week high",TRUE),"")</f>
        <v>74.894999999999996</v>
      </c>
      <c r="R4" s="17" cm="1">
        <f t="array" aca="1" ref="R4" ca="1">IFERROR(_FV($L4,"52 week low",TRUE),"")</f>
        <v>62.35</v>
      </c>
      <c r="S4" s="17" cm="1">
        <f t="array" aca="1" ref="S4" ca="1">IFERROR(_FV($L4,"P/E",TRUE),"")</f>
        <v>24.308499999999999</v>
      </c>
      <c r="T4" s="84">
        <f ca="1">Table510118[[#This Row],[CURRENT PRICE]]/Table510118[[#This Row],[P/E]]</f>
        <v>3.0791698377110888</v>
      </c>
      <c r="U4" s="89" cm="1">
        <f t="array" aca="1" ref="U4" ca="1">IFERROR(_FV($L4,"Beta"),"")</f>
        <v>0.36249999999999999</v>
      </c>
      <c r="V4" s="94" t="str" cm="1">
        <f t="array" aca="1" ref="V4" ca="1">IFERROR(_FV($L4,"Exchange"),"")</f>
        <v>New York Stock Exchange</v>
      </c>
      <c r="W4" s="99">
        <f ca="1">Table510118[[#This Row],[BUY PRICE]]-Table510118[[#This Row],[CURRENT PRICE]]</f>
        <v>-4.7399999999999949</v>
      </c>
      <c r="X4" s="90">
        <f ca="1">Table510118[[#This Row],[QUANTITY]]*Table510118[[#This Row],[CURRENT PRICE]]</f>
        <v>74.849999999999994</v>
      </c>
      <c r="Z4" s="9"/>
      <c r="AA4" s="10"/>
      <c r="AB4" s="11"/>
    </row>
    <row r="5" spans="2:28" ht="17" thickBot="1" x14ac:dyDescent="0.25">
      <c r="B5" s="139"/>
      <c r="C5" s="140"/>
      <c r="D5" s="140"/>
      <c r="E5" s="141"/>
      <c r="F5" s="141"/>
      <c r="G5" s="141"/>
      <c r="H5" s="142"/>
      <c r="I5" s="2"/>
      <c r="J5" s="26" t="str" cm="1">
        <f t="array" aca="1" ref="J5" ca="1">IFERROR(_FV($L5,"Name"),"")</f>
        <v>NVIDIA CORPORATION</v>
      </c>
      <c r="K5" s="76" cm="1">
        <f t="array" aca="1" ref="K5" ca="1">(IFERROR(_FV($L5,"Market cap",TRUE),""))/1000000000</f>
        <v>4644.4589999999998</v>
      </c>
      <c r="L5" s="81" t="e" vm="2">
        <v>#VALUE!</v>
      </c>
      <c r="M5" s="78">
        <v>46030</v>
      </c>
      <c r="N5" s="23">
        <v>1</v>
      </c>
      <c r="O5" s="74">
        <v>189.17500000000001</v>
      </c>
      <c r="P5" s="19" cm="1">
        <f t="array" aca="1" ref="P5" ca="1">IFERROR(_FV($L5,"Price"),"")</f>
        <v>191.13</v>
      </c>
      <c r="Q5" s="18" cm="1">
        <f t="array" aca="1" ref="Q5" ca="1">IFERROR(_FV($L5,"52 week high",TRUE),"")</f>
        <v>212.18989999999999</v>
      </c>
      <c r="R5" s="18" cm="1">
        <f t="array" aca="1" ref="R5" ca="1">IFERROR(_FV($L5,"52 week low",TRUE),"")</f>
        <v>86.62</v>
      </c>
      <c r="S5" s="18" cm="1">
        <f t="array" aca="1" ref="S5" ca="1">IFERROR(_FV($L5,"P/E",TRUE),"")</f>
        <v>47.681100000000001</v>
      </c>
      <c r="T5" s="85">
        <f ca="1">Table510118[[#This Row],[CURRENT PRICE]]/Table510118[[#This Row],[P/E]]</f>
        <v>4.0085065151600947</v>
      </c>
      <c r="U5" s="12" cm="1">
        <f t="array" aca="1" ref="U5" ca="1">IFERROR(_FV($L5,"Beta"),"")</f>
        <v>2.3109000000000002</v>
      </c>
      <c r="V5" s="95" t="str" cm="1">
        <f t="array" aca="1" ref="V5" ca="1">IFERROR(_FV($L5,"Exchange"),"")</f>
        <v>Nasdaq Stock Market</v>
      </c>
      <c r="W5" s="100">
        <f ca="1">Table510118[[#This Row],[BUY PRICE]]-Table510118[[#This Row],[CURRENT PRICE]]</f>
        <v>-1.9549999999999841</v>
      </c>
      <c r="X5" s="91">
        <f ca="1">Table510118[[#This Row],[QUANTITY]]*Table510118[[#This Row],[CURRENT PRICE]]</f>
        <v>191.13</v>
      </c>
    </row>
    <row r="6" spans="2:28" ht="20" thickBot="1" x14ac:dyDescent="0.25">
      <c r="B6" s="143" t="s">
        <v>4</v>
      </c>
      <c r="C6" s="144"/>
      <c r="D6" s="140"/>
      <c r="E6" s="4" t="s">
        <v>0</v>
      </c>
      <c r="F6" s="4" t="s">
        <v>1</v>
      </c>
      <c r="G6" s="4" t="s">
        <v>2</v>
      </c>
      <c r="H6" s="4" t="s">
        <v>3</v>
      </c>
      <c r="I6" s="2"/>
      <c r="J6" s="25" t="str" cm="1">
        <f t="array" aca="1" ref="J6" ca="1">IFERROR(_FV($L6,"Name"),"")</f>
        <v>Eni SpA</v>
      </c>
      <c r="K6" s="76" cm="1">
        <f t="array" aca="1" ref="K6" ca="1">(IFERROR(_FV($L6,"Market cap",TRUE),""))/1000000000</f>
        <v>62.951053829999999</v>
      </c>
      <c r="L6" s="82" t="e" vm="3">
        <v>#VALUE!</v>
      </c>
      <c r="M6" s="78">
        <v>46030</v>
      </c>
      <c r="N6" s="23">
        <v>1</v>
      </c>
      <c r="O6" s="74">
        <v>36.75</v>
      </c>
      <c r="P6" s="19" cm="1">
        <f t="array" aca="1" ref="P6" ca="1">IFERROR(_FV($L6,"Price"),"")</f>
        <v>40.92</v>
      </c>
      <c r="Q6" s="18" cm="1">
        <f t="array" aca="1" ref="Q6" ca="1">IFERROR(_FV($L6,"52 week high",TRUE),"")</f>
        <v>42.03</v>
      </c>
      <c r="R6" s="18" cm="1">
        <f t="array" aca="1" ref="R6" ca="1">IFERROR(_FV($L6,"52 week low",TRUE),"")</f>
        <v>24.65</v>
      </c>
      <c r="S6" s="18" cm="1">
        <f t="array" aca="1" ref="S6" ca="1">IFERROR(_FV($L6,"P/E",TRUE),"")</f>
        <v>20.021699999999999</v>
      </c>
      <c r="T6" s="85">
        <f ca="1">Table510118[[#This Row],[CURRENT PRICE]]/Table510118[[#This Row],[P/E]]</f>
        <v>2.0437824959918491</v>
      </c>
      <c r="U6" s="12" cm="1">
        <f t="array" aca="1" ref="U6" ca="1">IFERROR(_FV($L6,"Beta"),"")</f>
        <v>0.82320000000000004</v>
      </c>
      <c r="V6" s="95" t="str" cm="1">
        <f t="array" aca="1" ref="V6" ca="1">IFERROR(_FV($L6,"Exchange"),"")</f>
        <v>New York Stock Exchange</v>
      </c>
      <c r="W6" s="100">
        <f ca="1">Table510118[[#This Row],[BUY PRICE]]-Table510118[[#This Row],[CURRENT PRICE]]</f>
        <v>-4.1700000000000017</v>
      </c>
      <c r="X6" s="91">
        <f ca="1">Table510118[[#This Row],[QUANTITY]]*Table510118[[#This Row],[CURRENT PRICE]]</f>
        <v>40.92</v>
      </c>
    </row>
    <row r="7" spans="2:28" ht="17" thickBot="1" x14ac:dyDescent="0.25">
      <c r="B7" s="143"/>
      <c r="C7" s="144"/>
      <c r="D7" s="140"/>
      <c r="E7" s="105"/>
      <c r="F7" s="104">
        <v>46036</v>
      </c>
      <c r="G7" s="55">
        <v>1</v>
      </c>
      <c r="H7" s="103"/>
      <c r="I7" s="2"/>
      <c r="J7" s="25" t="str" cm="1">
        <f t="array" aca="1" ref="J7" ca="1">IFERROR(_FV($L7,"Name"),"")</f>
        <v>LOEWS CORPORATION</v>
      </c>
      <c r="K7" s="76" cm="1">
        <f t="array" aca="1" ref="K7" ca="1">(IFERROR(_FV($L7,"Market cap",TRUE),""))/1000000000</f>
        <v>21.816020674000001</v>
      </c>
      <c r="L7" s="81" t="e" vm="4">
        <v>#VALUE!</v>
      </c>
      <c r="M7" s="78">
        <v>46030</v>
      </c>
      <c r="N7" s="23">
        <v>1</v>
      </c>
      <c r="O7" s="74">
        <v>105.45</v>
      </c>
      <c r="P7" s="19" cm="1">
        <f t="array" aca="1" ref="P7" ca="1">IFERROR(_FV($L7,"Price"),"")</f>
        <v>105.565</v>
      </c>
      <c r="Q7" s="18" cm="1">
        <f t="array" aca="1" ref="Q7" ca="1">IFERROR(_FV($L7,"52 week high",TRUE),"")</f>
        <v>109.06</v>
      </c>
      <c r="R7" s="18" cm="1">
        <f t="array" aca="1" ref="R7" ca="1">IFERROR(_FV($L7,"52 week low",TRUE),"")</f>
        <v>78.98</v>
      </c>
      <c r="S7" s="18" cm="1">
        <f t="array" aca="1" ref="S7" ca="1">IFERROR(_FV($L7,"P/E",TRUE),"")</f>
        <v>15.1867</v>
      </c>
      <c r="T7" s="85">
        <f ca="1">Table510118[[#This Row],[CURRENT PRICE]]/Table510118[[#This Row],[P/E]]</f>
        <v>6.9511480440121947</v>
      </c>
      <c r="U7" s="12" cm="1">
        <f t="array" aca="1" ref="U7" ca="1">IFERROR(_FV($L7,"Beta"),"")</f>
        <v>0.61040000000000005</v>
      </c>
      <c r="V7" s="95" t="str" cm="1">
        <f t="array" aca="1" ref="V7" ca="1">IFERROR(_FV($L7,"Exchange"),"")</f>
        <v>New York Stock Exchange</v>
      </c>
      <c r="W7" s="100">
        <f ca="1">Table510118[[#This Row],[BUY PRICE]]-Table510118[[#This Row],[CURRENT PRICE]]</f>
        <v>-0.11499999999999488</v>
      </c>
      <c r="X7" s="91">
        <f ca="1">Table510118[[#This Row],[QUANTITY]]*Table510118[[#This Row],[CURRENT PRICE]]</f>
        <v>105.565</v>
      </c>
    </row>
    <row r="8" spans="2:28" ht="23" thickBot="1" x14ac:dyDescent="0.25">
      <c r="B8" s="145"/>
      <c r="C8" s="146"/>
      <c r="D8" s="140"/>
      <c r="E8" s="147"/>
      <c r="F8" s="147"/>
      <c r="G8" s="147"/>
      <c r="H8" s="148"/>
      <c r="I8" s="2"/>
      <c r="J8" s="25" t="str" cm="1">
        <f t="array" aca="1" ref="J8" ca="1">IFERROR(_FV($L8,"Name"),"")</f>
        <v>VALHI, INC.</v>
      </c>
      <c r="K8" s="76" cm="1">
        <f t="array" aca="1" ref="K8" ca="1">(IFERROR(_FV($L8,"Market cap",TRUE),""))/1000000000</f>
        <v>0.40302460899999998</v>
      </c>
      <c r="L8" s="82" t="e" vm="5">
        <v>#VALUE!</v>
      </c>
      <c r="M8" s="78">
        <v>46030</v>
      </c>
      <c r="N8" s="23">
        <v>1</v>
      </c>
      <c r="O8" s="74">
        <v>12.45</v>
      </c>
      <c r="P8" s="19" cm="1">
        <f t="array" aca="1" ref="P8" ca="1">IFERROR(_FV($L8,"Price"),"")</f>
        <v>14.24</v>
      </c>
      <c r="Q8" s="18" cm="1">
        <f t="array" aca="1" ref="Q8" ca="1">IFERROR(_FV($L8,"52 week high",TRUE),"")</f>
        <v>22.545000000000002</v>
      </c>
      <c r="R8" s="18" cm="1">
        <f t="array" aca="1" ref="R8" ca="1">IFERROR(_FV($L8,"52 week low",TRUE),"")</f>
        <v>11.44</v>
      </c>
      <c r="S8" s="18" cm="1">
        <f t="array" aca="1" ref="S8" ca="1">IFERROR(_FV($L8,"P/E",TRUE),"")</f>
        <v>21.561</v>
      </c>
      <c r="T8" s="85">
        <f ca="1">Table510118[[#This Row],[CURRENT PRICE]]/Table510118[[#This Row],[P/E]]</f>
        <v>0.66045174157042807</v>
      </c>
      <c r="U8" s="12" cm="1">
        <f t="array" aca="1" ref="U8" ca="1">IFERROR(_FV($L8,"Beta"),"")</f>
        <v>1.1918</v>
      </c>
      <c r="V8" s="95" t="str" cm="1">
        <f t="array" aca="1" ref="V8" ca="1">IFERROR(_FV($L8,"Exchange"),"")</f>
        <v>New York Stock Exchange</v>
      </c>
      <c r="W8" s="100">
        <f ca="1">Table510118[[#This Row],[BUY PRICE]]-Table510118[[#This Row],[CURRENT PRICE]]</f>
        <v>-1.7900000000000009</v>
      </c>
      <c r="X8" s="91">
        <f ca="1">Table510118[[#This Row],[QUANTITY]]*Table510118[[#This Row],[CURRENT PRICE]]</f>
        <v>14.24</v>
      </c>
    </row>
    <row r="9" spans="2:28" ht="16" customHeight="1" thickBot="1" x14ac:dyDescent="0.25">
      <c r="B9" s="143" t="s">
        <v>5</v>
      </c>
      <c r="C9" s="144"/>
      <c r="D9" s="140"/>
      <c r="E9" s="149" t="s">
        <v>6</v>
      </c>
      <c r="F9" s="140"/>
      <c r="G9" s="150" t="s">
        <v>9</v>
      </c>
      <c r="H9" s="120"/>
      <c r="I9" s="2"/>
      <c r="J9" s="25" t="str" cm="1">
        <f t="array" aca="1" ref="J9" ca="1">IFERROR(_FV($L9,"Name"),"")</f>
        <v>APPLE INC.</v>
      </c>
      <c r="K9" s="76" cm="1">
        <f t="array" aca="1" ref="K9" ca="1">(IFERROR(_FV($L9,"Market cap",TRUE),""))/1000000000</f>
        <v>3813.8188764000001</v>
      </c>
      <c r="L9" s="83" t="e" vm="6">
        <v>#VALUE!</v>
      </c>
      <c r="M9" s="79">
        <v>46035</v>
      </c>
      <c r="N9" s="3">
        <v>1</v>
      </c>
      <c r="O9" s="15">
        <v>260.25</v>
      </c>
      <c r="P9" s="20" cm="1">
        <f t="array" aca="1" ref="P9" ca="1">IFERROR(_FV($L9,"Price"),"")</f>
        <v>259.48</v>
      </c>
      <c r="Q9" s="21" cm="1">
        <f t="array" aca="1" ref="Q9" ca="1">IFERROR(_FV($L9,"52 week high",TRUE),"")</f>
        <v>288.62</v>
      </c>
      <c r="R9" s="21" cm="1">
        <f t="array" aca="1" ref="R9" ca="1">IFERROR(_FV($L9,"52 week low",TRUE),"")</f>
        <v>169.21010000000001</v>
      </c>
      <c r="S9" s="21" cm="1">
        <f t="array" aca="1" ref="S9" ca="1">IFERROR(_FV($L9,"P/E",TRUE),"")</f>
        <v>32.813800000000001</v>
      </c>
      <c r="T9" s="86">
        <f ca="1">Table510118[[#This Row],[CURRENT PRICE]]/Table510118[[#This Row],[P/E]]</f>
        <v>7.9076486112550208</v>
      </c>
      <c r="U9" s="92" cm="1">
        <f t="array" aca="1" ref="U9" ca="1">IFERROR(_FV($L9,"Beta"),"")</f>
        <v>1.0946</v>
      </c>
      <c r="V9" s="96" t="str" cm="1">
        <f t="array" aca="1" ref="V9" ca="1">IFERROR(_FV($L9,"Exchange"),"")</f>
        <v>Nasdaq Stock Market</v>
      </c>
      <c r="W9" s="98">
        <f ca="1">Table510118[[#This Row],[BUY PRICE]]-Table510118[[#This Row],[CURRENT PRICE]]</f>
        <v>0.76999999999998181</v>
      </c>
      <c r="X9" s="93">
        <f ca="1">Table510118[[#This Row],[QUANTITY]]*Table510118[[#This Row],[CURRENT PRICE]]</f>
        <v>259.48</v>
      </c>
    </row>
    <row r="10" spans="2:28" ht="16" customHeight="1" x14ac:dyDescent="0.2">
      <c r="B10" s="143"/>
      <c r="C10" s="144"/>
      <c r="D10" s="140"/>
      <c r="E10" s="117"/>
      <c r="F10" s="140"/>
      <c r="G10" s="119"/>
      <c r="H10" s="120"/>
      <c r="I10" s="2"/>
    </row>
    <row r="11" spans="2:28" ht="22" customHeight="1" x14ac:dyDescent="0.2">
      <c r="B11" s="145"/>
      <c r="C11" s="146"/>
      <c r="D11" s="140"/>
      <c r="E11" s="106"/>
      <c r="F11" s="140"/>
      <c r="G11" s="140"/>
      <c r="H11" s="153"/>
      <c r="I11" s="2"/>
    </row>
    <row r="12" spans="2:28" ht="16" customHeight="1" x14ac:dyDescent="0.2">
      <c r="B12" s="145"/>
      <c r="C12" s="146"/>
      <c r="D12" s="140"/>
      <c r="E12" s="117" t="s">
        <v>7</v>
      </c>
      <c r="F12" s="140"/>
      <c r="G12" s="119" t="s">
        <v>8</v>
      </c>
      <c r="H12" s="120"/>
      <c r="I12" s="2"/>
    </row>
    <row r="13" spans="2:28" ht="16" customHeight="1" thickBot="1" x14ac:dyDescent="0.25">
      <c r="B13" s="151"/>
      <c r="C13" s="152"/>
      <c r="D13" s="141"/>
      <c r="E13" s="118"/>
      <c r="F13" s="141"/>
      <c r="G13" s="121"/>
      <c r="H13" s="122"/>
      <c r="I13" s="2"/>
      <c r="J13" s="2"/>
      <c r="K13" s="2"/>
      <c r="L13" s="2"/>
      <c r="M13" s="2"/>
      <c r="N13" s="2"/>
      <c r="O13" s="2"/>
      <c r="P13" s="2"/>
      <c r="Q13" s="2"/>
      <c r="R13" s="2"/>
      <c r="S13" s="2"/>
      <c r="T13" s="2"/>
    </row>
    <row r="14" spans="2:28" x14ac:dyDescent="0.2">
      <c r="D14" s="2"/>
      <c r="E14" s="2"/>
      <c r="F14" s="2"/>
      <c r="G14" s="2"/>
      <c r="H14" s="2"/>
      <c r="I14" s="2"/>
      <c r="J14" s="2"/>
      <c r="K14" s="2"/>
      <c r="L14" s="2"/>
      <c r="M14" s="2"/>
      <c r="N14" s="2"/>
      <c r="O14" s="2"/>
      <c r="P14" s="2"/>
      <c r="Q14" s="2"/>
      <c r="R14" s="2"/>
      <c r="S14" s="2"/>
      <c r="W14" s="97"/>
      <c r="X14" s="97"/>
    </row>
    <row r="15" spans="2:28" ht="16" customHeight="1" x14ac:dyDescent="0.2">
      <c r="B15" s="2"/>
      <c r="C15" s="2"/>
      <c r="D15" s="2"/>
      <c r="E15" s="2"/>
      <c r="F15" s="2"/>
      <c r="G15" s="2"/>
      <c r="H15" s="2"/>
      <c r="I15" s="2"/>
      <c r="J15" s="2"/>
      <c r="K15" s="2"/>
      <c r="L15" s="2"/>
      <c r="M15" s="2"/>
      <c r="N15" s="2"/>
      <c r="O15" s="2"/>
      <c r="P15" s="2"/>
      <c r="R15" s="2"/>
      <c r="S15" s="2"/>
    </row>
    <row r="16" spans="2:28" ht="16" customHeight="1" x14ac:dyDescent="0.2">
      <c r="B16" s="2"/>
      <c r="C16" s="2"/>
      <c r="D16" s="2"/>
      <c r="E16" s="2"/>
      <c r="F16" s="2"/>
      <c r="G16" s="2"/>
      <c r="H16" s="2"/>
      <c r="I16" s="2"/>
      <c r="J16" s="6"/>
      <c r="K16" s="2"/>
      <c r="L16" s="2"/>
      <c r="M16" s="2"/>
      <c r="N16" s="2"/>
      <c r="O16" s="2"/>
      <c r="P16" s="2"/>
      <c r="Q16" s="2"/>
      <c r="R16" s="2"/>
      <c r="S16" s="2"/>
      <c r="T16" s="2"/>
    </row>
    <row r="17" spans="2:20" x14ac:dyDescent="0.2">
      <c r="B17" s="2"/>
      <c r="C17" s="2"/>
      <c r="D17" s="2"/>
      <c r="E17" s="2"/>
      <c r="F17" s="2"/>
      <c r="G17" s="2"/>
      <c r="H17" s="2"/>
      <c r="I17" s="2"/>
      <c r="J17" s="6"/>
      <c r="K17" s="2"/>
      <c r="L17" s="2"/>
      <c r="M17" s="2"/>
      <c r="N17" s="2"/>
      <c r="O17" s="2"/>
      <c r="P17" s="2"/>
      <c r="Q17" s="2"/>
      <c r="R17" s="2"/>
      <c r="S17" s="2"/>
      <c r="T17" s="2"/>
    </row>
    <row r="18" spans="2:20" x14ac:dyDescent="0.2">
      <c r="B18" s="1"/>
      <c r="C18" s="1"/>
      <c r="D18" s="1"/>
      <c r="E18" s="1"/>
      <c r="F18" s="1"/>
      <c r="G18" s="1"/>
      <c r="H18" s="1"/>
      <c r="I18" s="1"/>
      <c r="J18" s="2"/>
      <c r="K18" s="2"/>
      <c r="L18" s="2"/>
      <c r="M18" s="2"/>
      <c r="N18" s="2"/>
      <c r="O18" s="2"/>
      <c r="P18" s="2"/>
      <c r="Q18" s="2"/>
      <c r="R18" s="2"/>
      <c r="S18" s="2"/>
      <c r="T18" s="2"/>
    </row>
    <row r="19" spans="2:20" x14ac:dyDescent="0.2">
      <c r="B19" s="1"/>
      <c r="C19" s="1"/>
      <c r="D19" s="1"/>
      <c r="E19" s="1"/>
      <c r="F19" s="1"/>
      <c r="G19" s="1"/>
      <c r="H19" s="1"/>
      <c r="I19" s="1"/>
      <c r="J19" s="2"/>
      <c r="K19" s="2"/>
      <c r="L19" s="2"/>
      <c r="M19" s="2"/>
      <c r="N19" s="2"/>
      <c r="O19" s="2"/>
      <c r="P19" s="2"/>
      <c r="Q19" s="2"/>
      <c r="R19" s="2"/>
      <c r="S19" s="2"/>
      <c r="T19" s="2"/>
    </row>
    <row r="20" spans="2:20" x14ac:dyDescent="0.2">
      <c r="B20" s="1"/>
      <c r="C20" s="1"/>
      <c r="D20" s="1"/>
      <c r="E20" s="1"/>
      <c r="F20" s="1"/>
      <c r="G20" s="1"/>
      <c r="H20" s="1"/>
      <c r="I20" s="1"/>
      <c r="K20" s="2"/>
      <c r="L20" s="2"/>
      <c r="M20" s="2"/>
      <c r="N20" s="2"/>
      <c r="O20" s="2"/>
      <c r="P20" s="2"/>
      <c r="Q20" s="2"/>
      <c r="R20" s="2"/>
      <c r="S20" s="2"/>
      <c r="T20" s="2"/>
    </row>
    <row r="21" spans="2:20" x14ac:dyDescent="0.2">
      <c r="B21" s="1"/>
      <c r="C21" s="1"/>
      <c r="D21" s="1"/>
      <c r="E21" s="1"/>
      <c r="F21" s="1"/>
      <c r="H21" s="1"/>
      <c r="I21" s="1"/>
      <c r="J21" s="2"/>
      <c r="K21" s="2"/>
      <c r="L21" s="2"/>
      <c r="M21" s="2"/>
      <c r="N21" s="2"/>
      <c r="O21" s="2"/>
      <c r="P21" s="2"/>
      <c r="Q21" s="2"/>
      <c r="R21" s="2"/>
      <c r="S21" s="2"/>
      <c r="T21" s="2"/>
    </row>
    <row r="22" spans="2:20" x14ac:dyDescent="0.2">
      <c r="B22" s="1"/>
      <c r="C22" s="1"/>
      <c r="D22" s="1"/>
      <c r="E22" s="1"/>
      <c r="F22" s="1"/>
      <c r="G22" s="1"/>
      <c r="H22" s="1"/>
      <c r="I22" s="1"/>
      <c r="J22" s="2"/>
      <c r="K22" s="2"/>
      <c r="L22" s="2"/>
      <c r="M22" s="2"/>
      <c r="N22" s="2"/>
      <c r="O22" s="2"/>
      <c r="P22" s="2"/>
      <c r="Q22" s="2"/>
      <c r="R22" s="2"/>
      <c r="S22" s="2"/>
      <c r="T22" s="2"/>
    </row>
    <row r="23" spans="2:20" x14ac:dyDescent="0.2">
      <c r="B23" s="1"/>
      <c r="C23" s="1"/>
      <c r="D23" s="1"/>
      <c r="E23" s="1"/>
      <c r="F23" s="1"/>
      <c r="G23" s="1"/>
      <c r="H23" s="1"/>
      <c r="I23" s="1"/>
      <c r="J23" s="2"/>
      <c r="K23" s="2"/>
      <c r="L23" s="2"/>
      <c r="M23" s="2"/>
      <c r="N23" s="5"/>
      <c r="O23" s="2"/>
      <c r="P23" s="2"/>
      <c r="Q23" s="2"/>
      <c r="R23" s="2"/>
      <c r="S23" s="2"/>
      <c r="T23" s="2"/>
    </row>
    <row r="24" spans="2:20" x14ac:dyDescent="0.2">
      <c r="B24" s="1"/>
      <c r="C24" s="1"/>
      <c r="D24" s="1"/>
      <c r="E24" s="1"/>
      <c r="F24" s="1"/>
      <c r="G24" s="1"/>
      <c r="H24" s="1"/>
      <c r="I24" s="1"/>
      <c r="J24" s="2"/>
      <c r="K24" s="2"/>
      <c r="L24" s="2"/>
      <c r="M24" s="2"/>
      <c r="N24" s="2"/>
      <c r="O24" s="2"/>
      <c r="P24" s="2"/>
      <c r="Q24" s="2"/>
      <c r="R24" s="2"/>
      <c r="S24" s="2"/>
      <c r="T24" s="2"/>
    </row>
    <row r="25" spans="2:20" x14ac:dyDescent="0.2">
      <c r="B25" s="1"/>
      <c r="C25" s="1"/>
      <c r="D25" s="1"/>
      <c r="E25" s="1"/>
      <c r="F25" s="1"/>
      <c r="G25" s="1"/>
      <c r="H25" s="1"/>
      <c r="I25" s="1"/>
      <c r="J25" s="1"/>
      <c r="K25" s="1"/>
      <c r="L25" s="1"/>
      <c r="M25" s="1"/>
      <c r="N25" s="1"/>
      <c r="O25" s="1"/>
      <c r="P25" s="1"/>
      <c r="Q25" s="1"/>
      <c r="R25" s="1"/>
      <c r="S25" s="1"/>
      <c r="T25" s="1"/>
    </row>
    <row r="26" spans="2:20" x14ac:dyDescent="0.2">
      <c r="J26" s="1"/>
      <c r="K26" s="1"/>
      <c r="L26" s="1"/>
      <c r="M26" s="1"/>
      <c r="N26" s="1"/>
      <c r="O26" s="1"/>
      <c r="P26" s="1"/>
      <c r="Q26" s="1"/>
      <c r="R26" s="1"/>
      <c r="S26" s="1"/>
      <c r="T26" s="1"/>
    </row>
    <row r="27" spans="2:20" x14ac:dyDescent="0.2">
      <c r="J27" s="1"/>
      <c r="K27" s="1"/>
      <c r="L27" s="1"/>
      <c r="M27" s="1"/>
      <c r="N27" s="1"/>
      <c r="O27" s="1"/>
      <c r="P27" s="1"/>
      <c r="Q27" s="1"/>
      <c r="R27" s="1"/>
      <c r="S27" s="1"/>
      <c r="T27" s="1"/>
    </row>
    <row r="28" spans="2:20" x14ac:dyDescent="0.2">
      <c r="J28" s="1"/>
      <c r="K28" s="1"/>
      <c r="L28" s="1"/>
      <c r="M28" s="1"/>
      <c r="N28" s="1"/>
      <c r="O28" s="1"/>
      <c r="P28" s="1"/>
      <c r="Q28" s="1"/>
      <c r="R28" s="1"/>
      <c r="S28" s="1"/>
      <c r="T28" s="1"/>
    </row>
    <row r="29" spans="2:20" x14ac:dyDescent="0.2">
      <c r="J29" s="1"/>
      <c r="K29" s="1"/>
      <c r="L29" s="1"/>
      <c r="M29" s="1"/>
      <c r="N29" s="1"/>
      <c r="O29" s="1"/>
      <c r="P29" s="1"/>
      <c r="Q29" s="1"/>
      <c r="R29" s="1"/>
      <c r="S29" s="1"/>
      <c r="T29" s="1"/>
    </row>
    <row r="30" spans="2:20" x14ac:dyDescent="0.2">
      <c r="J30" s="1"/>
      <c r="K30" s="1"/>
      <c r="L30" s="1"/>
      <c r="M30" s="1"/>
      <c r="N30" s="1"/>
      <c r="O30" s="1"/>
      <c r="P30" s="1"/>
      <c r="Q30" s="1"/>
      <c r="R30" s="1"/>
      <c r="S30" s="1"/>
      <c r="T30" s="1"/>
    </row>
    <row r="31" spans="2:20" x14ac:dyDescent="0.2">
      <c r="J31" s="1"/>
      <c r="K31" s="1"/>
      <c r="L31" s="1"/>
      <c r="M31" s="1"/>
      <c r="N31" s="1"/>
      <c r="O31" s="1"/>
      <c r="P31" s="1"/>
      <c r="Q31" s="1"/>
      <c r="R31" s="1"/>
      <c r="S31" s="1"/>
      <c r="T31" s="1"/>
    </row>
    <row r="32" spans="2:20" x14ac:dyDescent="0.2">
      <c r="J32" s="1"/>
      <c r="K32" s="1"/>
      <c r="L32" s="1"/>
      <c r="M32" s="1"/>
      <c r="N32" s="1"/>
      <c r="O32" s="1"/>
      <c r="P32" s="1"/>
      <c r="Q32" s="1"/>
      <c r="R32" s="1"/>
      <c r="S32" s="1"/>
      <c r="T32" s="1"/>
    </row>
  </sheetData>
  <mergeCells count="18">
    <mergeCell ref="B2:H4"/>
    <mergeCell ref="J2:O2"/>
    <mergeCell ref="P2:T2"/>
    <mergeCell ref="U2:V2"/>
    <mergeCell ref="B6:C7"/>
    <mergeCell ref="B11:C13"/>
    <mergeCell ref="B8:C8"/>
    <mergeCell ref="B5:C5"/>
    <mergeCell ref="E8:H8"/>
    <mergeCell ref="F9:F13"/>
    <mergeCell ref="B9:C10"/>
    <mergeCell ref="E9:E10"/>
    <mergeCell ref="G9:H10"/>
    <mergeCell ref="G11:H11"/>
    <mergeCell ref="E5:H5"/>
    <mergeCell ref="E12:E13"/>
    <mergeCell ref="G12:H13"/>
    <mergeCell ref="D5:D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RefreshAllData">
                <anchor moveWithCells="1" sizeWithCells="1">
                  <from>
                    <xdr:col>6</xdr:col>
                    <xdr:colOff>12700</xdr:colOff>
                    <xdr:row>10</xdr:row>
                    <xdr:rowOff>279400</xdr:rowOff>
                  </from>
                  <to>
                    <xdr:col>8</xdr:col>
                    <xdr:colOff>12700</xdr:colOff>
                    <xdr:row>13</xdr:row>
                    <xdr:rowOff>12700</xdr:rowOff>
                  </to>
                </anchor>
              </controlPr>
            </control>
          </mc:Choice>
        </mc:AlternateContent>
        <mc:AlternateContent xmlns:mc="http://schemas.openxmlformats.org/markup-compatibility/2006">
          <mc:Choice Requires="x14">
            <control shapeId="17410" r:id="rId4" name="Button 2">
              <controlPr defaultSize="0" print="0" autoFill="0" autoPict="0" macro="[0]!AddStock_CopyPasteInputs">
                <anchor moveWithCells="1" sizeWithCells="1">
                  <from>
                    <xdr:col>1</xdr:col>
                    <xdr:colOff>825500</xdr:colOff>
                    <xdr:row>5</xdr:row>
                    <xdr:rowOff>12700</xdr:rowOff>
                  </from>
                  <to>
                    <xdr:col>3</xdr:col>
                    <xdr:colOff>12700</xdr:colOff>
                    <xdr:row>7</xdr:row>
                    <xdr:rowOff>12700</xdr:rowOff>
                  </to>
                </anchor>
              </controlPr>
            </control>
          </mc:Choice>
        </mc:AlternateContent>
        <mc:AlternateContent xmlns:mc="http://schemas.openxmlformats.org/markup-compatibility/2006">
          <mc:Choice Requires="x14">
            <control shapeId="17411" r:id="rId5" name="Button 3">
              <controlPr defaultSize="0" print="0" autoFill="0" autoPict="0" macro="[0]!AutoFit_Sheet_Width_Button">
                <anchor moveWithCells="1" sizeWithCells="1">
                  <from>
                    <xdr:col>5</xdr:col>
                    <xdr:colOff>977900</xdr:colOff>
                    <xdr:row>8</xdr:row>
                    <xdr:rowOff>0</xdr:rowOff>
                  </from>
                  <to>
                    <xdr:col>8</xdr:col>
                    <xdr:colOff>12700</xdr:colOff>
                    <xdr:row>10</xdr:row>
                    <xdr:rowOff>12700</xdr:rowOff>
                  </to>
                </anchor>
              </controlPr>
            </control>
          </mc:Choice>
        </mc:AlternateContent>
        <mc:AlternateContent xmlns:mc="http://schemas.openxmlformats.org/markup-compatibility/2006">
          <mc:Choice Requires="x14">
            <control shapeId="17412" r:id="rId6" name="Button 4">
              <controlPr defaultSize="0" print="0" autoFill="0" autoPict="0" macro="[0]!RemoveStock_FromFirstTable">
                <anchor moveWithCells="1" sizeWithCells="1">
                  <from>
                    <xdr:col>1</xdr:col>
                    <xdr:colOff>825500</xdr:colOff>
                    <xdr:row>7</xdr:row>
                    <xdr:rowOff>279400</xdr:rowOff>
                  </from>
                  <to>
                    <xdr:col>3</xdr:col>
                    <xdr:colOff>12700</xdr:colOff>
                    <xdr:row>10</xdr:row>
                    <xdr:rowOff>12700</xdr:rowOff>
                  </to>
                </anchor>
              </controlPr>
            </control>
          </mc:Choice>
        </mc:AlternateContent>
        <mc:AlternateContent xmlns:mc="http://schemas.openxmlformats.org/markup-compatibility/2006">
          <mc:Choice Requires="x14">
            <control shapeId="17413" r:id="rId7" name="Button 5">
              <controlPr defaultSize="0" print="0" autoFill="0" autoPict="0" macro="[0]!Duplicate_Current_Tab">
                <anchor moveWithCells="1" sizeWithCells="1">
                  <from>
                    <xdr:col>3</xdr:col>
                    <xdr:colOff>812800</xdr:colOff>
                    <xdr:row>8</xdr:row>
                    <xdr:rowOff>12700</xdr:rowOff>
                  </from>
                  <to>
                    <xdr:col>5</xdr:col>
                    <xdr:colOff>12700</xdr:colOff>
                    <xdr:row>10</xdr:row>
                    <xdr:rowOff>12700</xdr:rowOff>
                  </to>
                </anchor>
              </controlPr>
            </control>
          </mc:Choice>
        </mc:AlternateContent>
        <mc:AlternateContent xmlns:mc="http://schemas.openxmlformats.org/markup-compatibility/2006">
          <mc:Choice Requires="x14">
            <control shapeId="17414" r:id="rId8" name="Button 6">
              <controlPr defaultSize="0" print="0" autoFill="0" autoPict="0" macro="[0]!Delete_Current_Tab">
                <anchor moveWithCells="1" sizeWithCells="1">
                  <from>
                    <xdr:col>4</xdr:col>
                    <xdr:colOff>12700</xdr:colOff>
                    <xdr:row>11</xdr:row>
                    <xdr:rowOff>12700</xdr:rowOff>
                  </from>
                  <to>
                    <xdr:col>5</xdr:col>
                    <xdr:colOff>12700</xdr:colOff>
                    <xdr:row>13</xdr:row>
                    <xdr:rowOff>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FB503-01EE-2E43-AAE7-A15DD20D8DB4}">
  <sheetPr codeName="Sheet3"/>
  <dimension ref="A1:AS35"/>
  <sheetViews>
    <sheetView tabSelected="1" topLeftCell="M1" zoomScale="75" zoomScaleNormal="89" workbookViewId="0">
      <selection activeCell="S4" sqref="S4:T5"/>
    </sheetView>
  </sheetViews>
  <sheetFormatPr baseColWidth="10" defaultRowHeight="16" x14ac:dyDescent="0.2"/>
  <cols>
    <col min="2" max="2" width="26.83203125" customWidth="1"/>
    <col min="3" max="3" width="3.1640625" bestFit="1" customWidth="1"/>
    <col min="4" max="4" width="25" bestFit="1" customWidth="1"/>
    <col min="5" max="5" width="36.5" bestFit="1" customWidth="1"/>
    <col min="6" max="6" width="13.83203125" bestFit="1" customWidth="1"/>
    <col min="7" max="7" width="18.1640625" bestFit="1" customWidth="1"/>
    <col min="8" max="8" width="23.5" customWidth="1"/>
    <col min="9" max="9" width="8.6640625" bestFit="1" customWidth="1"/>
    <col min="10" max="10" width="21.1640625" customWidth="1"/>
    <col min="11" max="11" width="18.1640625" bestFit="1" customWidth="1"/>
    <col min="12" max="12" width="18.6640625" customWidth="1"/>
    <col min="13" max="13" width="36.5" bestFit="1" customWidth="1"/>
    <col min="14" max="14" width="20" bestFit="1" customWidth="1"/>
    <col min="15" max="15" width="15.33203125" bestFit="1" customWidth="1"/>
    <col min="16" max="16" width="23.5" customWidth="1"/>
    <col min="17" max="17" width="8.83203125" bestFit="1" customWidth="1"/>
    <col min="18" max="18" width="26.5" customWidth="1"/>
    <col min="19" max="19" width="31.6640625" customWidth="1"/>
    <col min="20" max="20" width="36.5" bestFit="1" customWidth="1"/>
    <col min="21" max="21" width="41" customWidth="1"/>
    <col min="22" max="22" width="35" bestFit="1" customWidth="1"/>
    <col min="23" max="23" width="17.83203125" bestFit="1" customWidth="1"/>
    <col min="24" max="24" width="30.83203125" bestFit="1" customWidth="1"/>
    <col min="25" max="25" width="23.33203125" bestFit="1" customWidth="1"/>
    <col min="26" max="26" width="22.1640625" bestFit="1" customWidth="1"/>
    <col min="29" max="29" width="19.5" customWidth="1"/>
  </cols>
  <sheetData>
    <row r="1" spans="1:45" ht="17" thickBo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row>
    <row r="2" spans="1:45" x14ac:dyDescent="0.2">
      <c r="A2" s="2"/>
      <c r="B2" s="206" t="s">
        <v>46</v>
      </c>
      <c r="C2" s="207"/>
      <c r="D2" s="207"/>
      <c r="E2" s="207"/>
      <c r="F2" s="208"/>
      <c r="G2" s="2"/>
      <c r="H2" s="177" t="s">
        <v>47</v>
      </c>
      <c r="I2" s="156" t="s">
        <v>27</v>
      </c>
      <c r="J2" s="183"/>
      <c r="K2" s="156" t="s">
        <v>34</v>
      </c>
      <c r="L2" s="183"/>
      <c r="M2" s="156" t="s">
        <v>29</v>
      </c>
      <c r="N2" s="183"/>
      <c r="O2" s="202" t="s">
        <v>36</v>
      </c>
      <c r="P2" s="203"/>
      <c r="Q2" s="156" t="s">
        <v>51</v>
      </c>
      <c r="R2" s="183"/>
      <c r="S2" s="156" t="s">
        <v>58</v>
      </c>
      <c r="T2" s="183"/>
      <c r="U2" s="156" t="s">
        <v>54</v>
      </c>
      <c r="V2" s="183"/>
      <c r="W2" s="2"/>
      <c r="X2" s="2"/>
      <c r="Y2" s="2"/>
      <c r="Z2" s="2"/>
      <c r="AA2" s="2"/>
      <c r="AB2" s="2"/>
      <c r="AC2" s="2"/>
      <c r="AD2" s="2"/>
      <c r="AE2" s="2"/>
      <c r="AF2" s="2"/>
    </row>
    <row r="3" spans="1:45" ht="17" thickBot="1" x14ac:dyDescent="0.25">
      <c r="A3" s="2"/>
      <c r="B3" s="209"/>
      <c r="C3" s="210"/>
      <c r="D3" s="210"/>
      <c r="E3" s="210"/>
      <c r="F3" s="211"/>
      <c r="G3" s="2"/>
      <c r="H3" s="178"/>
      <c r="I3" s="184"/>
      <c r="J3" s="185"/>
      <c r="K3" s="184"/>
      <c r="L3" s="185"/>
      <c r="M3" s="184"/>
      <c r="N3" s="185"/>
      <c r="O3" s="204"/>
      <c r="P3" s="205"/>
      <c r="Q3" s="184"/>
      <c r="R3" s="185"/>
      <c r="S3" s="184"/>
      <c r="T3" s="185"/>
      <c r="U3" s="184"/>
      <c r="V3" s="185"/>
      <c r="W3" s="2"/>
      <c r="X3" s="2"/>
      <c r="Y3" s="2"/>
      <c r="Z3" s="2"/>
      <c r="AA3" s="2"/>
      <c r="AB3" s="2"/>
      <c r="AC3" s="2"/>
      <c r="AD3" s="2"/>
      <c r="AE3" s="2"/>
      <c r="AF3" s="2"/>
    </row>
    <row r="4" spans="1:45" ht="17" thickBot="1" x14ac:dyDescent="0.25">
      <c r="A4" s="2"/>
      <c r="B4" s="212"/>
      <c r="C4" s="213"/>
      <c r="D4" s="213"/>
      <c r="E4" s="213"/>
      <c r="F4" s="214"/>
      <c r="G4" s="2"/>
      <c r="H4" s="178"/>
      <c r="I4" s="186">
        <f ca="1">SUMPRODUCT(Table16[Arithmatic Returns],Table16[Weight])</f>
        <v>0.36039619784181176</v>
      </c>
      <c r="J4" s="187"/>
      <c r="K4" s="186">
        <f ca="1">SUMPRODUCT(Table16[Geometric Returns],Table16[Weight])</f>
        <v>0.416537128003518</v>
      </c>
      <c r="L4" s="187"/>
      <c r="M4" s="186">
        <f ca="1">K8/Q7</f>
        <v>1.1194603158663623</v>
      </c>
      <c r="N4" s="187"/>
      <c r="O4" s="186" t="e" vm="7">
        <f>B8</f>
        <v>#VALUE!</v>
      </c>
      <c r="P4" s="187"/>
      <c r="Q4" s="223" cm="1">
        <f t="array" aca="1" ref="Q4" ca="1">(AVERAGE(IFERROR(_FV(Table16[Stock],"Market cap",TRUE),"")))/1000000000</f>
        <v>1477.5705681938332</v>
      </c>
      <c r="R4" s="224"/>
      <c r="S4" s="186" cm="1">
        <f t="array" aca="1" ref="S4" ca="1">SUMPRODUCT(INDIRECT("'"&amp;E8&amp;"'!N4"):INDEX(INDIRECT("'"&amp;E8&amp;"'!N4:N10000"),LOOKUP(2,1/(INDIRECT("'"&amp;E8&amp;"'!N4:N10000")&lt;&gt;""),ROW(INDIRECT("'"&amp;E8&amp;"'!N:N")))),INDIRECT("'"&amp;E8&amp;"'!P4"):INDEX(INDIRECT("'"&amp;E8&amp;"'!P4:P10000"),LOOKUP(2,1/(INDIRECT("'"&amp;E8&amp;"'!P4:P10000")&lt;&gt;""),ROW(INDIRECT("'"&amp;E8&amp;"'!P:P")))))</f>
        <v>686.18500000000006</v>
      </c>
      <c r="T4" s="187"/>
      <c r="U4" s="192" cm="1">
        <f t="array" aca="1" ref="U4" ca="1">SUM(INDIRECT("'"&amp;E8&amp;"'!W4"):INDEX(INDIRECT("'"&amp;E8&amp;"'!W4:W10000"),LOOKUP(2,1/(INDIRECT("'"&amp;E8&amp;"'!W4:W10000")&lt;&gt;""),ROW(INDIRECT("'"&amp;E8&amp;"'!W:W")))))</f>
        <v>-11.999999999999995</v>
      </c>
      <c r="V4" s="193"/>
      <c r="W4" s="2"/>
      <c r="X4" s="2"/>
      <c r="Y4" s="2"/>
      <c r="Z4" s="2"/>
      <c r="AA4" s="2"/>
      <c r="AB4" s="2"/>
      <c r="AC4" s="2"/>
      <c r="AD4" s="2"/>
      <c r="AE4" s="2"/>
      <c r="AF4" s="2"/>
    </row>
    <row r="5" spans="1:45" ht="17" thickBot="1" x14ac:dyDescent="0.25">
      <c r="A5" s="2"/>
      <c r="B5" s="32"/>
      <c r="C5" s="33"/>
      <c r="D5" s="33"/>
      <c r="E5" s="33"/>
      <c r="F5" s="34"/>
      <c r="G5" s="2"/>
      <c r="H5" s="178"/>
      <c r="I5" s="188"/>
      <c r="J5" s="189"/>
      <c r="K5" s="188"/>
      <c r="L5" s="189"/>
      <c r="M5" s="188"/>
      <c r="N5" s="189"/>
      <c r="O5" s="188"/>
      <c r="P5" s="189"/>
      <c r="Q5" s="225"/>
      <c r="R5" s="226"/>
      <c r="S5" s="188"/>
      <c r="T5" s="189"/>
      <c r="U5" s="194"/>
      <c r="V5" s="195"/>
      <c r="W5" s="2"/>
      <c r="X5" s="2"/>
      <c r="Y5" s="2"/>
      <c r="Z5" s="2"/>
      <c r="AA5" s="2"/>
      <c r="AB5" s="2"/>
      <c r="AC5" s="2"/>
      <c r="AD5" s="2"/>
      <c r="AE5" s="2"/>
      <c r="AF5" s="2"/>
    </row>
    <row r="6" spans="1:45" ht="17" thickBot="1" x14ac:dyDescent="0.25">
      <c r="A6" s="2"/>
      <c r="B6" s="215" t="s">
        <v>45</v>
      </c>
      <c r="C6" s="216"/>
      <c r="D6" s="33"/>
      <c r="E6" s="219" t="s">
        <v>35</v>
      </c>
      <c r="F6" s="220"/>
      <c r="G6" s="2"/>
      <c r="H6" s="178"/>
      <c r="I6" s="156" t="s">
        <v>26</v>
      </c>
      <c r="J6" s="183"/>
      <c r="K6" s="156" t="s">
        <v>38</v>
      </c>
      <c r="L6" s="183"/>
      <c r="M6" s="166" t="s">
        <v>59</v>
      </c>
      <c r="N6" s="167"/>
      <c r="O6" s="175" t="s">
        <v>53</v>
      </c>
      <c r="P6" s="176"/>
      <c r="Q6" s="175" t="s">
        <v>37</v>
      </c>
      <c r="R6" s="176"/>
      <c r="S6" s="156" t="s">
        <v>69</v>
      </c>
      <c r="T6" s="157"/>
      <c r="U6" s="33"/>
      <c r="V6" s="34"/>
      <c r="W6" s="2"/>
      <c r="X6" s="2"/>
      <c r="Y6" s="2"/>
      <c r="Z6" s="2"/>
      <c r="AA6" s="2"/>
      <c r="AB6" s="2"/>
      <c r="AC6" s="2"/>
      <c r="AD6" s="2"/>
      <c r="AE6" s="2"/>
      <c r="AF6" s="2"/>
    </row>
    <row r="7" spans="1:45" ht="17" thickBot="1" x14ac:dyDescent="0.25">
      <c r="A7" s="2"/>
      <c r="B7" s="217"/>
      <c r="C7" s="218"/>
      <c r="D7" s="33"/>
      <c r="E7" s="221"/>
      <c r="F7" s="222"/>
      <c r="G7" s="2"/>
      <c r="H7" s="178"/>
      <c r="I7" s="184"/>
      <c r="J7" s="185"/>
      <c r="K7" s="184"/>
      <c r="L7" s="185"/>
      <c r="M7" s="164">
        <f ca="1">M4*O7</f>
        <v>0.20482942036544902</v>
      </c>
      <c r="N7" s="165"/>
      <c r="O7" s="164" cm="1">
        <f t="array" aca="1" ref="O7" ca="1">_xlfn.LET(_xlpm.h,_xlfn.STOCKHISTORY($B$8,EDATE(TODAY(),$F$11),TODAY(),1,0,1),_xlpm.r,_xlfn.DROP(_xlpm.h,1)/_xlfn.DROP(_xlpm.h,-1)-1,AVERAGE(_xlpm.r)*52)</f>
        <v>0.18297157787762164</v>
      </c>
      <c r="P7" s="165"/>
      <c r="Q7" s="164" cm="1">
        <f t="array" aca="1" ref="Q7" ca="1">_xlfn.LET(_xlpm.h,_xlfn.STOCKHISTORY($B$8,EDATE(TODAY(),$F$11),TODAY(),1,0,1),_xlpm.r,_xlfn.DROP(_xlpm.h,1)/_xlfn.DROP(_xlpm.h,-1)-1,_xlfn.VAR.S(_xlpm.r)*52)</f>
        <v>2.0551028253624894E-2</v>
      </c>
      <c r="R7" s="165"/>
      <c r="S7" s="158"/>
      <c r="T7" s="159"/>
      <c r="U7" s="33"/>
      <c r="V7" s="34"/>
      <c r="W7" s="2"/>
      <c r="X7" s="2"/>
      <c r="Y7" s="2"/>
      <c r="Z7" s="2"/>
      <c r="AA7" s="2"/>
      <c r="AB7" s="2"/>
      <c r="AC7" s="2"/>
      <c r="AD7" s="2"/>
      <c r="AE7" s="2"/>
      <c r="AF7" s="2"/>
    </row>
    <row r="8" spans="1:45" ht="17" thickBot="1" x14ac:dyDescent="0.25">
      <c r="A8" s="2"/>
      <c r="B8" s="181" t="e" vm="7">
        <v>#VALUE!</v>
      </c>
      <c r="C8" s="182"/>
      <c r="D8" s="33"/>
      <c r="E8" s="181" t="s">
        <v>66</v>
      </c>
      <c r="F8" s="182"/>
      <c r="G8" s="2"/>
      <c r="H8" s="178"/>
      <c r="I8" s="186" cm="1">
        <f t="array" aca="1" ref="I8" ca="1">MMULT(MMULT(TRANSPOSE(Table16[Weight]),_xlfn.ANCHORARRAY(U14)),Table16[Weight])</f>
        <v>3.7422849297971982E-2</v>
      </c>
      <c r="J8" s="187"/>
      <c r="K8" s="186">
        <f ca="1">SUMPRODUCT(_xlfn.ANCHORARRAY($N19),Table16[Weight])</f>
        <v>2.300606058018146E-2</v>
      </c>
      <c r="L8" s="187"/>
      <c r="M8" s="168" t="s">
        <v>60</v>
      </c>
      <c r="N8" s="169"/>
      <c r="O8" s="190" t="s">
        <v>52</v>
      </c>
      <c r="P8" s="191"/>
      <c r="Q8" s="227" t="s">
        <v>68</v>
      </c>
      <c r="R8" s="228"/>
      <c r="S8" s="160">
        <f ca="1">(I4-Q9)/SQRT(I8)</f>
        <v>1.6458848496510925</v>
      </c>
      <c r="T8" s="161"/>
      <c r="U8" s="33"/>
      <c r="V8" s="34"/>
      <c r="W8" s="2"/>
      <c r="X8" s="2"/>
      <c r="Y8" s="2"/>
      <c r="Z8" s="2"/>
      <c r="AA8" s="2"/>
      <c r="AB8" s="2"/>
      <c r="AC8" s="2"/>
      <c r="AD8" s="2"/>
      <c r="AE8" s="2"/>
      <c r="AF8" s="2"/>
    </row>
    <row r="9" spans="1:45" ht="17" thickBot="1" x14ac:dyDescent="0.25">
      <c r="A9" s="2"/>
      <c r="B9" s="32"/>
      <c r="C9" s="33"/>
      <c r="D9" s="33"/>
      <c r="E9" s="33"/>
      <c r="F9" s="34"/>
      <c r="G9" s="2"/>
      <c r="H9" s="179"/>
      <c r="I9" s="188"/>
      <c r="J9" s="189"/>
      <c r="K9" s="188"/>
      <c r="L9" s="189"/>
      <c r="M9" s="170">
        <f ca="1">(I4-M7)*K4</f>
        <v>6.479933870276651E-2</v>
      </c>
      <c r="N9" s="171"/>
      <c r="O9" s="164" cm="1">
        <f t="array" aca="1" ref="O9" ca="1">_xlfn.LET(_xlpm.h,_xlfn.STOCKHISTORY($B$8,EDATE(TODAY(),$F$11),TODAY(),1,0,1),_xlpm.r,_xlfn.DROP(_xlpm.h,1)/_xlfn.DROP(_xlpm.h,-1)-1,GEOMEAN(1+_xlpm.r)^52-1)</f>
        <v>0.18819926325607539</v>
      </c>
      <c r="P9" s="165"/>
      <c r="Q9" s="154">
        <v>4.2000000000000003E-2</v>
      </c>
      <c r="R9" s="155"/>
      <c r="S9" s="162"/>
      <c r="T9" s="163"/>
      <c r="U9" s="35"/>
      <c r="V9" s="38"/>
      <c r="W9" s="2"/>
      <c r="X9" s="2"/>
      <c r="Y9" s="2"/>
      <c r="Z9" s="2"/>
      <c r="AA9" s="2"/>
      <c r="AB9" s="2"/>
      <c r="AC9" s="2"/>
      <c r="AD9" s="2"/>
      <c r="AE9" s="2"/>
      <c r="AF9" s="2"/>
      <c r="AS9" s="9"/>
    </row>
    <row r="10" spans="1:45" ht="17" thickBot="1" x14ac:dyDescent="0.25">
      <c r="A10" s="2"/>
      <c r="B10" s="32"/>
      <c r="C10" s="33"/>
      <c r="D10" s="33"/>
      <c r="E10" s="28" t="s">
        <v>20</v>
      </c>
      <c r="F10" s="29"/>
      <c r="G10" s="2"/>
      <c r="H10" s="2"/>
      <c r="I10" s="2"/>
      <c r="J10" s="2"/>
      <c r="K10" s="2"/>
      <c r="L10" s="2"/>
      <c r="M10" s="2"/>
      <c r="N10" s="2"/>
      <c r="O10" s="2"/>
      <c r="P10" s="2"/>
      <c r="Q10" s="2"/>
      <c r="R10" s="2"/>
      <c r="S10" s="2"/>
      <c r="T10" s="2"/>
      <c r="U10" s="2"/>
      <c r="V10" s="2"/>
      <c r="W10" s="2"/>
      <c r="X10" s="2"/>
      <c r="Y10" s="2"/>
      <c r="Z10" s="2"/>
      <c r="AA10" s="2"/>
      <c r="AB10" s="2"/>
      <c r="AC10" s="2"/>
      <c r="AD10" s="2"/>
      <c r="AE10" s="2"/>
      <c r="AF10" s="2"/>
    </row>
    <row r="11" spans="1:45" x14ac:dyDescent="0.2">
      <c r="A11" s="2"/>
      <c r="B11" s="32"/>
      <c r="C11" s="33"/>
      <c r="D11" s="33"/>
      <c r="E11" s="39" t="s">
        <v>19</v>
      </c>
      <c r="F11" s="40">
        <v>-36</v>
      </c>
      <c r="G11" s="2"/>
      <c r="H11" s="2"/>
      <c r="I11" s="2"/>
      <c r="J11" s="2"/>
      <c r="K11" s="2"/>
      <c r="L11" s="2"/>
      <c r="M11" s="2"/>
      <c r="N11" s="2"/>
      <c r="O11" s="2"/>
      <c r="P11" s="2"/>
      <c r="Q11" s="2"/>
      <c r="R11" s="2"/>
      <c r="S11" s="2"/>
      <c r="T11" s="196" t="s">
        <v>49</v>
      </c>
      <c r="U11" s="197"/>
      <c r="V11" s="197"/>
      <c r="W11" s="198"/>
      <c r="X11" s="2"/>
      <c r="Y11" s="2"/>
      <c r="Z11" s="2"/>
      <c r="AA11" s="2"/>
      <c r="AB11" s="2"/>
      <c r="AC11" s="2"/>
      <c r="AD11" s="2"/>
      <c r="AE11" s="2"/>
      <c r="AF11" s="2"/>
    </row>
    <row r="12" spans="1:45" ht="17" thickBot="1" x14ac:dyDescent="0.25">
      <c r="A12" s="2"/>
      <c r="B12" s="32"/>
      <c r="C12" s="33"/>
      <c r="D12" s="33"/>
      <c r="E12" s="39" t="s">
        <v>50</v>
      </c>
      <c r="F12" s="40"/>
      <c r="G12" s="2"/>
      <c r="H12" s="2"/>
      <c r="I12" s="2"/>
      <c r="J12" s="2"/>
      <c r="K12" s="2"/>
      <c r="L12" s="2"/>
      <c r="M12" s="2"/>
      <c r="N12" s="2"/>
      <c r="O12" s="2"/>
      <c r="P12" s="2"/>
      <c r="Q12" s="2"/>
      <c r="R12" s="2"/>
      <c r="S12" s="2"/>
      <c r="T12" s="199"/>
      <c r="U12" s="200"/>
      <c r="V12" s="200"/>
      <c r="W12" s="201"/>
      <c r="X12" s="2"/>
      <c r="Y12" s="2"/>
      <c r="Z12" s="2"/>
      <c r="AA12" s="2"/>
      <c r="AB12" s="2"/>
      <c r="AC12" s="2"/>
      <c r="AD12" s="2"/>
      <c r="AE12" s="2"/>
      <c r="AF12" s="2"/>
    </row>
    <row r="13" spans="1:45" ht="17" thickBot="1" x14ac:dyDescent="0.25">
      <c r="A13" s="2"/>
      <c r="B13" s="41"/>
      <c r="C13" s="180"/>
      <c r="D13" s="180"/>
      <c r="E13" s="30"/>
      <c r="F13" s="31"/>
      <c r="G13" s="2"/>
      <c r="H13" s="2"/>
      <c r="I13" s="2"/>
      <c r="J13" s="2"/>
      <c r="K13" s="2"/>
      <c r="L13" s="2"/>
      <c r="M13" s="2"/>
      <c r="N13" s="2"/>
      <c r="O13" s="2"/>
      <c r="P13" s="2"/>
      <c r="Q13" s="2"/>
      <c r="R13" s="2"/>
      <c r="S13" s="2"/>
      <c r="T13" s="2"/>
      <c r="U13" s="2" t="e" cm="1" vm="1">
        <f t="array" aca="1" ref="U13:Z13" ca="1">TRANSPOSE(INDIRECT("'"&amp;E8&amp;"'!L4"):INDEX(INDIRECT("'"&amp;E8&amp;"'!L4:L10000"),LOOKUP(2,1/(INDIRECT("'"&amp;E8&amp;"'!L4:L10000")&lt;&gt;""),ROW(INDIRECT("'"&amp;E8&amp;"'!L:L")))))</f>
        <v>#VALUE!</v>
      </c>
      <c r="V13" s="2" t="e" vm="2">
        <f ca="1"/>
        <v>#VALUE!</v>
      </c>
      <c r="W13" s="2" t="e" vm="3">
        <f ca="1"/>
        <v>#VALUE!</v>
      </c>
      <c r="X13" s="2" t="e" vm="4">
        <f ca="1"/>
        <v>#VALUE!</v>
      </c>
      <c r="Y13" s="2" t="e" vm="5">
        <f ca="1"/>
        <v>#VALUE!</v>
      </c>
      <c r="Z13" s="2" t="e" vm="6">
        <f ca="1"/>
        <v>#VALUE!</v>
      </c>
      <c r="AA13" s="2"/>
      <c r="AB13" s="2"/>
      <c r="AC13" s="2"/>
      <c r="AD13" s="2"/>
      <c r="AE13" s="2"/>
      <c r="AF13" s="2"/>
    </row>
    <row r="14" spans="1:45" x14ac:dyDescent="0.2">
      <c r="A14" s="2"/>
      <c r="B14" s="2"/>
      <c r="C14" s="2"/>
      <c r="D14" s="2"/>
      <c r="E14" s="2"/>
      <c r="F14" s="2"/>
      <c r="G14" s="2"/>
      <c r="H14" s="2"/>
      <c r="I14" s="2"/>
      <c r="J14" s="2"/>
      <c r="K14" s="2"/>
      <c r="L14" s="2"/>
      <c r="M14" s="2"/>
      <c r="N14" s="2"/>
      <c r="O14" s="2"/>
      <c r="P14" s="2"/>
      <c r="Q14" s="2"/>
      <c r="R14" s="2"/>
      <c r="S14" s="2"/>
      <c r="T14" s="2" t="e" cm="1" vm="1">
        <f t="array" aca="1" ref="T14:T19" ca="1">INDIRECT("'"&amp;E8&amp;"'!L4"):INDEX(INDIRECT("'"&amp;E8&amp;"'!L4:L10000"),LOOKUP(2,1/(INDIRECT("'"&amp;E8&amp;"'!L4:L10000")&lt;&gt;""),ROW(INDIRECT("'"&amp;E8&amp;"'!L:L"))))</f>
        <v>#VALUE!</v>
      </c>
      <c r="U14" s="2" cm="1">
        <f t="array" aca="1" ref="U14:Z19" ca="1">_xlfn.MAKEARRAY(COUNTA(_xlfn.ANCHORARRAY($T$14)),COUNTA(_xlfn.ANCHORARRAY($U$13)),_xlfn.LAMBDA(_xlpm.r,_xlpm.c,_xlfn.LET(_xlpm.rt,INDEX(_xlfn.ANCHORARRAY($T$14),_xlpm.r),_xlpm.ct,INDEX(_xlfn.ANCHORARRAY($U$13),_xlpm.c),_xlpm.hr,_xlfn.STOCKHISTORY(_xlpm.rt,EDATE(TODAY(),$F$11),TODAY(),1,0,1),_xlpm.rr,_xlfn.DROP(_xlpm.hr,1)/_xlfn.DROP(_xlpm.hr,-1)-1,_xlpm.hc,_xlfn.STOCKHISTORY(_xlpm.ct,EDATE(TODAY(),$F$11),TODAY(),1,0,1),_xlpm.cr,_xlfn.DROP(_xlpm.hc,1)/_xlfn.DROP(_xlpm.hc,-1)-1,_xlfn.COVARIANCE.S(_xlpm.rr,_xlpm.cr)*52)))</f>
        <v>1.8792981949743572E-2</v>
      </c>
      <c r="V14" s="2">
        <f ca="1"/>
        <v>-7.5914241583509992E-3</v>
      </c>
      <c r="W14" s="2">
        <f ca="1"/>
        <v>2.092498055725115E-3</v>
      </c>
      <c r="X14" s="2">
        <f ca="1"/>
        <v>5.606682772178905E-3</v>
      </c>
      <c r="Y14" s="2">
        <f ca="1"/>
        <v>8.9287148848976039E-3</v>
      </c>
      <c r="Z14" s="2">
        <f ca="1"/>
        <v>5.8649072943337197E-3</v>
      </c>
      <c r="AA14" s="2"/>
      <c r="AB14" s="2"/>
      <c r="AC14" s="2"/>
      <c r="AD14" s="2"/>
      <c r="AE14" s="2"/>
      <c r="AF14" s="2"/>
    </row>
    <row r="15" spans="1:45" ht="17" thickBot="1" x14ac:dyDescent="0.25">
      <c r="A15" s="2"/>
      <c r="B15" s="2"/>
      <c r="C15" s="2"/>
      <c r="D15" s="2"/>
      <c r="E15" s="2"/>
      <c r="F15" s="2"/>
      <c r="G15" s="2"/>
      <c r="H15" s="2"/>
      <c r="I15" s="2"/>
      <c r="J15" s="2"/>
      <c r="K15" s="2"/>
      <c r="L15" s="2"/>
      <c r="M15" s="2"/>
      <c r="N15" s="2"/>
      <c r="O15" s="2"/>
      <c r="P15" s="2"/>
      <c r="Q15" s="2"/>
      <c r="R15" s="2"/>
      <c r="S15" s="2"/>
      <c r="T15" s="2" t="e" vm="2">
        <f ca="1"/>
        <v>#VALUE!</v>
      </c>
      <c r="U15" s="2">
        <f ca="1"/>
        <v>-7.5914241583509992E-3</v>
      </c>
      <c r="V15" s="2">
        <f ca="1"/>
        <v>0.21320874440588589</v>
      </c>
      <c r="W15" s="2">
        <f ca="1"/>
        <v>-7.212747219163821E-3</v>
      </c>
      <c r="X15" s="2">
        <f ca="1"/>
        <v>-1.9711303040616879E-3</v>
      </c>
      <c r="Y15" s="2">
        <f ca="1"/>
        <v>4.7132477800020743E-2</v>
      </c>
      <c r="Z15" s="2">
        <f ca="1"/>
        <v>4.038569849403862E-2</v>
      </c>
      <c r="AA15" s="2"/>
      <c r="AB15" s="2"/>
      <c r="AC15" s="2"/>
      <c r="AD15" s="2"/>
      <c r="AE15" s="2"/>
      <c r="AF15" s="2"/>
    </row>
    <row r="16" spans="1:45" ht="16" customHeight="1" thickBot="1" x14ac:dyDescent="0.25">
      <c r="A16" s="2"/>
      <c r="B16" s="2"/>
      <c r="C16" s="2"/>
      <c r="D16" s="123" t="s">
        <v>48</v>
      </c>
      <c r="E16" s="124"/>
      <c r="F16" s="124"/>
      <c r="G16" s="124"/>
      <c r="H16" s="124"/>
      <c r="I16" s="124"/>
      <c r="J16" s="124"/>
      <c r="K16" s="124"/>
      <c r="L16" s="124"/>
      <c r="M16" s="124"/>
      <c r="N16" s="124"/>
      <c r="O16" s="124"/>
      <c r="P16" s="172" t="s">
        <v>61</v>
      </c>
      <c r="Q16" s="173"/>
      <c r="R16" s="174"/>
      <c r="S16" s="27" t="s">
        <v>63</v>
      </c>
      <c r="T16" s="2" t="e" vm="3">
        <f ca="1"/>
        <v>#VALUE!</v>
      </c>
      <c r="U16" s="2">
        <f ca="1"/>
        <v>2.092498055725115E-3</v>
      </c>
      <c r="V16" s="2">
        <f ca="1"/>
        <v>-7.212747219163821E-3</v>
      </c>
      <c r="W16" s="2">
        <f ca="1"/>
        <v>4.4673278877991537E-2</v>
      </c>
      <c r="X16" s="2">
        <f ca="1"/>
        <v>1.0863434024470486E-2</v>
      </c>
      <c r="Y16" s="2">
        <f ca="1"/>
        <v>2.8395196091995808E-2</v>
      </c>
      <c r="Z16" s="2">
        <f ca="1"/>
        <v>3.6249676901662134E-3</v>
      </c>
      <c r="AA16" s="2"/>
      <c r="AB16" s="2"/>
      <c r="AC16" s="2"/>
      <c r="AD16" s="2"/>
      <c r="AE16" s="2"/>
      <c r="AF16" s="2"/>
    </row>
    <row r="17" spans="1:32" ht="17" customHeight="1" thickBot="1" x14ac:dyDescent="0.25">
      <c r="A17" s="2"/>
      <c r="B17" s="2"/>
      <c r="C17" s="2"/>
      <c r="D17" s="126"/>
      <c r="E17" s="127"/>
      <c r="F17" s="127"/>
      <c r="G17" s="127"/>
      <c r="H17" s="127"/>
      <c r="I17" s="127"/>
      <c r="J17" s="127"/>
      <c r="K17" s="127"/>
      <c r="L17" s="127"/>
      <c r="M17" s="130"/>
      <c r="N17" s="130"/>
      <c r="O17" s="130"/>
      <c r="P17" s="62">
        <f ca="1">SUM(Table16[Weight])</f>
        <v>0.99999999999999989</v>
      </c>
      <c r="Q17" s="66" t="s">
        <v>62</v>
      </c>
      <c r="R17" s="64">
        <v>1</v>
      </c>
      <c r="S17" s="60">
        <v>292048027.70340598</v>
      </c>
      <c r="T17" s="2" t="e" vm="4">
        <f ca="1"/>
        <v>#VALUE!</v>
      </c>
      <c r="U17" s="2">
        <f ca="1"/>
        <v>5.606682772178905E-3</v>
      </c>
      <c r="V17" s="2">
        <f ca="1"/>
        <v>-1.9711303040616879E-3</v>
      </c>
      <c r="W17" s="2">
        <f ca="1"/>
        <v>1.0863434024470486E-2</v>
      </c>
      <c r="X17" s="2">
        <f ca="1"/>
        <v>2.7624636064579253E-2</v>
      </c>
      <c r="Y17" s="2">
        <f ca="1"/>
        <v>2.8379514772231971E-2</v>
      </c>
      <c r="Z17" s="2">
        <f ca="1"/>
        <v>6.298004273678633E-3</v>
      </c>
      <c r="AA17" s="2"/>
      <c r="AB17" s="2"/>
      <c r="AC17" s="2"/>
      <c r="AD17" s="2"/>
      <c r="AE17" s="2"/>
      <c r="AF17" s="2"/>
    </row>
    <row r="18" spans="1:32" ht="17" thickBot="1" x14ac:dyDescent="0.25">
      <c r="A18" s="2"/>
      <c r="B18" s="27" t="s">
        <v>64</v>
      </c>
      <c r="C18" s="2"/>
      <c r="D18" s="42" t="s">
        <v>30</v>
      </c>
      <c r="E18" s="43" t="s">
        <v>31</v>
      </c>
      <c r="F18" s="43" t="s">
        <v>25</v>
      </c>
      <c r="G18" s="43" t="s">
        <v>32</v>
      </c>
      <c r="H18" s="43" t="s">
        <v>40</v>
      </c>
      <c r="I18" s="42" t="s">
        <v>29</v>
      </c>
      <c r="J18" s="43" t="s">
        <v>56</v>
      </c>
      <c r="K18" s="43" t="s">
        <v>57</v>
      </c>
      <c r="L18" s="44" t="s">
        <v>39</v>
      </c>
      <c r="M18" s="14" t="s">
        <v>43</v>
      </c>
      <c r="N18" s="27" t="s">
        <v>44</v>
      </c>
      <c r="O18" s="13" t="s">
        <v>58</v>
      </c>
      <c r="P18" s="63">
        <f t="shared" ref="P18:P23" ca="1" si="0">L19</f>
        <v>0.10908137018442547</v>
      </c>
      <c r="Q18" s="67" t="s">
        <v>65</v>
      </c>
      <c r="R18" s="65">
        <v>0.01</v>
      </c>
      <c r="S18" s="2"/>
      <c r="T18" s="2" t="e" vm="5">
        <f ca="1"/>
        <v>#VALUE!</v>
      </c>
      <c r="U18" s="2">
        <f ca="1"/>
        <v>8.9287148848976039E-3</v>
      </c>
      <c r="V18" s="2">
        <f ca="1"/>
        <v>4.7132477800020743E-2</v>
      </c>
      <c r="W18" s="2">
        <f ca="1"/>
        <v>2.8395196091995808E-2</v>
      </c>
      <c r="X18" s="2">
        <f ca="1"/>
        <v>2.8379514772231971E-2</v>
      </c>
      <c r="Y18" s="2">
        <f ca="1"/>
        <v>0.36155224956170418</v>
      </c>
      <c r="Z18" s="2">
        <f ca="1"/>
        <v>-8.8588783013018749E-4</v>
      </c>
      <c r="AA18" s="2"/>
      <c r="AB18" s="2"/>
      <c r="AC18" s="2"/>
      <c r="AD18" s="2"/>
      <c r="AE18" s="2"/>
      <c r="AF18" s="2"/>
    </row>
    <row r="19" spans="1:32" ht="17" thickBot="1" x14ac:dyDescent="0.25">
      <c r="A19" s="2"/>
      <c r="B19" s="71" cm="1">
        <f t="array" aca="1" ref="B19:B24" ca="1">(INDIRECT("'"&amp;E8&amp;"'!N4"):INDEX(INDIRECT("'"&amp;E8&amp;"'!N4:N10000"),LOOKUP(2,1/(INDIRECT("'"&amp;E8&amp;"'!N4:N10000")&lt;&gt;""),ROW(INDIRECT("'"&amp;E8&amp;"'!N:N")))))</f>
        <v>1</v>
      </c>
      <c r="C19" s="2"/>
      <c r="D19" s="45" t="str" cm="1">
        <f t="array" aca="1" ref="D19" ca="1">IFERROR(_FV(Table16[[#This Row],[Stock]],"Name"),"")</f>
        <v>THE COCA-COLA COMPANY</v>
      </c>
      <c r="E19" s="46" t="e" vm="1">
        <f t="shared" ref="E19:E24" ca="1" si="1">IFERROR($M19,"")</f>
        <v>#VALUE!</v>
      </c>
      <c r="F19" s="46" cm="1">
        <f t="array" aca="1" ref="F19" ca="1">_xlfn.LET(_xlpm.h,_xlfn.STOCKHISTORY(Table16[[#This Row],[Stock]],EDATE(TODAY(),$F$11),TODAY(),1,0,1),_xlpm.r,_xlfn.DROP(_xlpm.h,1)/_xlfn.DROP(_xlpm.h,-1)-1, _xlfn.VAR.S(_xlpm.r )*52)</f>
        <v>1.8792981949743569E-2</v>
      </c>
      <c r="G19" s="46">
        <f ca="1">Table16[[#This Row],[Varience]]^2</f>
        <v>3.531761705633876E-4</v>
      </c>
      <c r="H19" s="46" cm="1">
        <f t="array" aca="1" ref="H19" ca="1">_xlfn.LET(_xlpm.x,Table16[Weight],_xlpm.y,INDEX(_xlfn.ANCHORARRAY($U$14), ROW()-18, 0),SUMPRODUCT(TRANSPOSE(_xlpm.y),_xlpm.x))</f>
        <v>3.3258834447454744E-3</v>
      </c>
      <c r="I19" s="47">
        <f ca="1">Table16[[#This Row],[Covariance With Portfolio]]/$I$8</f>
        <v>8.8873068383002851E-2</v>
      </c>
      <c r="J19" s="47" cm="1">
        <f t="array" aca="1" ref="J19" ca="1">_xlfn.LET(_xlpm.h,_xlfn.STOCKHISTORY(Table16[[#This Row],[Stock]],EDATE(TODAY(),$F$11),TODAY(),1,0,1),_xlpm.r,_xlfn.DROP(_xlpm.h,1)/_xlfn.DROP(_xlpm.h,-1)-1,AVERAGE(_xlpm.r)*52)</f>
        <v>8.3845193684621067E-2</v>
      </c>
      <c r="K19" s="47" cm="1">
        <f t="array" aca="1" ref="K19" ca="1">_xlfn.LET(_xlpm.h,_xlfn.STOCKHISTORY(Table16[[#This Row],[Stock]],EDATE(TODAY(),$F$11),TODAY(),1,0,1),_xlpm.r,_xlfn.DROP(_xlpm.h,1)/_xlfn.DROP(_xlpm.h,-1)-1,GEOMEAN(1+_xlpm.r)^52-1)</f>
        <v>7.7325361997587994E-2</v>
      </c>
      <c r="L19" s="56">
        <f t="shared" ref="L19:L24" ca="1" si="2">O19/$S$4</f>
        <v>0.10908137018442547</v>
      </c>
      <c r="M19" s="36" t="e" cm="1" vm="1">
        <f t="array" aca="1" ref="M19:M24" ca="1">INDIRECT("'"&amp;E8&amp;"'!L4"):INDEX(INDIRECT("'"&amp;E8&amp;"'!L4:L10000"),LOOKUP(2,1/(INDIRECT("'"&amp;E8&amp;"'!L4:L10000")&lt;&gt;""),ROW(INDIRECT("'"&amp;E8&amp;"'!L:L"))))</f>
        <v>#VALUE!</v>
      </c>
      <c r="N19" s="36" cm="1">
        <f t="array" aca="1" ref="N19:N24" ca="1">_xlfn.LET(_xlpm.stocks,Table16[Stock],_xlpm.he,_xlfn.STOCKHISTORY($B$8,EDATE(TODAY(),$F$11),TODAY(),1,0,1),_xlpm.re,_xlfn.DROP(_xlpm.he,1)/_xlfn.DROP(_xlpm.he,-1)-1,_xlfn.MAP(_xlpm.stocks,_xlfn.LAMBDA(_xlpm.s,_xlfn.LET(_xlpm.hs,_xlfn.STOCKHISTORY(_xlpm.s,EDATE(TODAY(),$F$11),TODAY(),1,0,1),_xlpm.rs,_xlfn.DROP(_xlpm.hs,1)/_xlfn.DROP(_xlpm.hs,-1)-1,_xlfn.COVARIANCE.S(_xlpm.rs,_xlpm.re)*52))))</f>
        <v>3.1075818536118465E-3</v>
      </c>
      <c r="O19" s="58" cm="1">
        <f t="array" aca="1" ref="O19:O24" ca="1">_xlfn.ANCHORARRAY($B19)*_FV(Table16[Stock],"Price")</f>
        <v>74.849999999999994</v>
      </c>
      <c r="P19" s="63">
        <f t="shared" ca="1" si="0"/>
        <v>0.27854004386572129</v>
      </c>
      <c r="Q19" s="67" t="s">
        <v>65</v>
      </c>
      <c r="R19" s="65">
        <v>0.01</v>
      </c>
      <c r="S19" s="2"/>
      <c r="T19" s="2" t="e" vm="6">
        <f ca="1"/>
        <v>#VALUE!</v>
      </c>
      <c r="U19" s="2">
        <f ca="1"/>
        <v>5.8649072943337197E-3</v>
      </c>
      <c r="V19" s="2">
        <f ca="1"/>
        <v>4.038569849403862E-2</v>
      </c>
      <c r="W19" s="2">
        <f ca="1"/>
        <v>3.6249676901662134E-3</v>
      </c>
      <c r="X19" s="2">
        <f ca="1"/>
        <v>6.298004273678633E-3</v>
      </c>
      <c r="Y19" s="2">
        <f ca="1"/>
        <v>-8.8588783013018749E-4</v>
      </c>
      <c r="Z19" s="2">
        <f ca="1"/>
        <v>6.5971127369102822E-2</v>
      </c>
      <c r="AA19" s="2"/>
      <c r="AB19" s="2"/>
      <c r="AC19" s="2"/>
      <c r="AD19" s="2"/>
      <c r="AE19" s="2"/>
      <c r="AF19" s="2"/>
    </row>
    <row r="20" spans="1:32" ht="17" thickBot="1" x14ac:dyDescent="0.25">
      <c r="A20" s="2"/>
      <c r="B20" s="37">
        <f ca="1"/>
        <v>1</v>
      </c>
      <c r="C20" s="2"/>
      <c r="D20" s="48" t="str" cm="1">
        <f t="array" aca="1" ref="D20" ca="1">IFERROR(_FV(Table16[[#This Row],[Stock]],"Name"),"")</f>
        <v>NVIDIA CORPORATION</v>
      </c>
      <c r="E20" s="49" t="e" vm="2">
        <f t="shared" ca="1" si="1"/>
        <v>#VALUE!</v>
      </c>
      <c r="F20" s="49" cm="1">
        <f t="array" aca="1" ref="F20" ca="1">_xlfn.LET(_xlpm.h,_xlfn.STOCKHISTORY(Table16[[#This Row],[Stock]],EDATE(TODAY(),$F$11),TODAY(),1,0,1),_xlpm.r,_xlfn.DROP(_xlpm.h,1)/_xlfn.DROP(_xlpm.h,-1)-1, _xlfn.VAR.S(_xlpm.r )*52)</f>
        <v>0.21320874440588605</v>
      </c>
      <c r="G20" s="49">
        <f ca="1">Table16[[#This Row],[Varience]]^2</f>
        <v>4.545796869113445E-2</v>
      </c>
      <c r="H20" s="49" cm="1">
        <f t="array" aca="1" ref="H20" ca="1">_xlfn.LET(_xlpm.x,Table16[Weight],_xlpm.y,INDEX(_xlfn.ANCHORARRAY($U$14), ROW()-18, 0),SUMPRODUCT(TRANSPOSE(_xlpm.y),_xlpm.x))</f>
        <v>7.4075633775721378E-2</v>
      </c>
      <c r="I20" s="49">
        <f ca="1">Table16[[#This Row],[Covariance With Portfolio]]/$I$8</f>
        <v>1.979422603177778</v>
      </c>
      <c r="J20" s="49" cm="1">
        <f t="array" aca="1" ref="J20" ca="1">_xlfn.LET(_xlpm.h,_xlfn.STOCKHISTORY(Table16[[#This Row],[Stock]],EDATE(TODAY(),$F$11),TODAY(),1,0,1),_xlpm.r,_xlfn.DROP(_xlpm.h,1)/_xlfn.DROP(_xlpm.h,-1)-1,AVERAGE(_xlpm.r)*52)</f>
        <v>0.8433339169585129</v>
      </c>
      <c r="K20" s="49" cm="1">
        <f t="array" aca="1" ref="K20" ca="1">_xlfn.LET(_xlpm.h,_xlfn.STOCKHISTORY(Table16[[#This Row],[Stock]],EDATE(TODAY(),$F$11),TODAY(),1,0,1),_xlpm.r,_xlfn.DROP(_xlpm.h,1)/_xlfn.DROP(_xlpm.h,-1)-1,GEOMEAN(1+_xlpm.r)^52-1)</f>
        <v>1.0845651272581862</v>
      </c>
      <c r="L20" s="56">
        <f t="shared" ca="1" si="2"/>
        <v>0.27854004386572129</v>
      </c>
      <c r="M20" s="37" t="e" vm="2">
        <f ca="1"/>
        <v>#VALUE!</v>
      </c>
      <c r="N20" s="37">
        <f ca="1"/>
        <v>4.2290796087968506E-2</v>
      </c>
      <c r="O20" s="59">
        <f ca="1"/>
        <v>191.13</v>
      </c>
      <c r="P20" s="63">
        <f t="shared" ca="1" si="0"/>
        <v>5.9634063700022583E-2</v>
      </c>
      <c r="Q20" s="67" t="s">
        <v>65</v>
      </c>
      <c r="R20" s="65">
        <v>0.01</v>
      </c>
      <c r="S20" s="2"/>
      <c r="T20" s="2"/>
      <c r="U20" s="2"/>
      <c r="V20" s="2"/>
      <c r="W20" s="2"/>
      <c r="X20" s="2"/>
      <c r="Y20" s="2"/>
      <c r="Z20" s="2"/>
      <c r="AA20" s="2"/>
      <c r="AB20" s="2"/>
      <c r="AC20" s="2"/>
      <c r="AD20" s="2"/>
      <c r="AE20" s="2"/>
      <c r="AF20" s="2"/>
    </row>
    <row r="21" spans="1:32" ht="17" thickBot="1" x14ac:dyDescent="0.25">
      <c r="A21" s="2"/>
      <c r="B21" s="37">
        <f ca="1"/>
        <v>1</v>
      </c>
      <c r="C21" s="2"/>
      <c r="D21" s="48" t="str" cm="1">
        <f t="array" aca="1" ref="D21" ca="1">IFERROR(_FV(Table16[[#This Row],[Stock]],"Name"),"")</f>
        <v>Eni SpA</v>
      </c>
      <c r="E21" s="49" t="e" vm="3">
        <f t="shared" ca="1" si="1"/>
        <v>#VALUE!</v>
      </c>
      <c r="F21" s="49" cm="1">
        <f t="array" aca="1" ref="F21" ca="1">_xlfn.LET(_xlpm.h,_xlfn.STOCKHISTORY(Table16[[#This Row],[Stock]],EDATE(TODAY(),$F$11),TODAY(),1,0,1),_xlpm.r,_xlfn.DROP(_xlpm.h,1)/_xlfn.DROP(_xlpm.h,-1)-1, _xlfn.VAR.S(_xlpm.r )*52)</f>
        <v>4.4673278877991565E-2</v>
      </c>
      <c r="G21" s="49">
        <f ca="1">Table16[[#This Row],[Varience]]^2</f>
        <v>1.9957018457108073E-3</v>
      </c>
      <c r="H21" s="49" cm="1">
        <f t="array" aca="1" ref="H21" ca="1">_xlfn.LET(_xlpm.x,Table16[Weight],_xlpm.y,INDEX(_xlfn.ANCHORARRAY($U$14), ROW()-18, 0),SUMPRODUCT(TRANSPOSE(_xlpm.y),_xlpm.x))</f>
        <v>4.514575947517409E-3</v>
      </c>
      <c r="I21" s="49">
        <f ca="1">Table16[[#This Row],[Covariance With Portfolio]]/$I$8</f>
        <v>0.12063688447587188</v>
      </c>
      <c r="J21" s="49" cm="1">
        <f t="array" aca="1" ref="J21" ca="1">_xlfn.LET(_xlpm.h,_xlfn.STOCKHISTORY(Table16[[#This Row],[Stock]],EDATE(TODAY(),$F$11),TODAY(),1,0,1),_xlpm.r,_xlfn.DROP(_xlpm.h,1)/_xlfn.DROP(_xlpm.h,-1)-1,AVERAGE(_xlpm.r)*52)</f>
        <v>0.12653521717104921</v>
      </c>
      <c r="K21" s="49" cm="1">
        <f t="array" aca="1" ref="K21" ca="1">_xlfn.LET(_xlpm.h,_xlfn.STOCKHISTORY(Table16[[#This Row],[Stock]],EDATE(TODAY(),$F$11),TODAY(),1,0,1),_xlpm.r,_xlfn.DROP(_xlpm.h,1)/_xlfn.DROP(_xlpm.h,-1)-1,GEOMEAN(1+_xlpm.r)^52-1)</f>
        <v>0.10975712753872791</v>
      </c>
      <c r="L21" s="56">
        <f t="shared" ca="1" si="2"/>
        <v>5.9634063700022583E-2</v>
      </c>
      <c r="M21" s="37" t="e" vm="3">
        <f ca="1"/>
        <v>#VALUE!</v>
      </c>
      <c r="N21" s="37">
        <f ca="1"/>
        <v>7.0757729167406054E-3</v>
      </c>
      <c r="O21" s="59">
        <f ca="1"/>
        <v>40.92</v>
      </c>
      <c r="P21" s="63">
        <f t="shared" ca="1" si="0"/>
        <v>0.15384335128281729</v>
      </c>
      <c r="Q21" s="67" t="s">
        <v>65</v>
      </c>
      <c r="R21" s="65">
        <v>0.01</v>
      </c>
      <c r="S21" s="2"/>
      <c r="T21" s="2"/>
      <c r="U21" s="2"/>
      <c r="V21" s="2"/>
      <c r="W21" s="2"/>
      <c r="X21" s="2"/>
      <c r="Y21" s="2"/>
      <c r="Z21" s="2"/>
      <c r="AA21" s="2"/>
      <c r="AB21" s="2"/>
      <c r="AC21" s="2"/>
      <c r="AD21" s="2"/>
      <c r="AE21" s="2"/>
      <c r="AF21" s="2"/>
    </row>
    <row r="22" spans="1:32" ht="18" customHeight="1" thickBot="1" x14ac:dyDescent="0.25">
      <c r="A22" s="2"/>
      <c r="B22" s="37">
        <f ca="1"/>
        <v>1</v>
      </c>
      <c r="C22" s="2"/>
      <c r="D22" s="48" t="str" cm="1">
        <f t="array" aca="1" ref="D22" ca="1">IFERROR(_FV(Table16[[#This Row],[Stock]],"Name"),"")</f>
        <v>LOEWS CORPORATION</v>
      </c>
      <c r="E22" s="49" t="e" vm="4">
        <f t="shared" ca="1" si="1"/>
        <v>#VALUE!</v>
      </c>
      <c r="F22" s="49" cm="1">
        <f t="array" aca="1" ref="F22" ca="1">_xlfn.LET(_xlpm.h,_xlfn.STOCKHISTORY(Table16[[#This Row],[Stock]],EDATE(TODAY(),$F$11),TODAY(),1,0,1),_xlpm.r,_xlfn.DROP(_xlpm.h,1)/_xlfn.DROP(_xlpm.h,-1)-1, _xlfn.VAR.S(_xlpm.r )*52)</f>
        <v>2.762463606457926E-2</v>
      </c>
      <c r="G22" s="49">
        <f ca="1">Table16[[#This Row],[Varience]]^2</f>
        <v>7.6312051770045309E-4</v>
      </c>
      <c r="H22" s="49" cm="1">
        <f t="array" aca="1" ref="H22" ca="1">_xlfn.LET(_xlpm.x,Table16[Weight],_xlpm.y,INDEX(_xlfn.ANCHORARRAY($U$14), ROW()-18, 0),SUMPRODUCT(TRANSPOSE(_xlpm.y),_xlpm.x))</f>
        <v>7.9307693059621487E-3</v>
      </c>
      <c r="I22" s="49">
        <f ca="1">Table16[[#This Row],[Covariance With Portfolio]]/$I$8</f>
        <v>0.21192318208629649</v>
      </c>
      <c r="J22" s="49" cm="1">
        <f t="array" aca="1" ref="J22" ca="1">_xlfn.LET(_xlpm.h,_xlfn.STOCKHISTORY(Table16[[#This Row],[Stock]],EDATE(TODAY(),$F$11),TODAY(),1,0,1),_xlpm.r,_xlfn.DROP(_xlpm.h,1)/_xlfn.DROP(_xlpm.h,-1)-1,AVERAGE(_xlpm.r)*52)</f>
        <v>0.20192701775601488</v>
      </c>
      <c r="K22" s="49" cm="1">
        <f t="array" aca="1" ref="K22" ca="1">_xlfn.LET(_xlpm.h,_xlfn.STOCKHISTORY(Table16[[#This Row],[Stock]],EDATE(TODAY(),$F$11),TODAY(),1,0,1),_xlpm.r,_xlfn.DROP(_xlpm.h,1)/_xlfn.DROP(_xlpm.h,-1)-1,GEOMEAN(1+_xlpm.r)^52-1)</f>
        <v>0.20657785402023499</v>
      </c>
      <c r="L22" s="56">
        <f t="shared" ca="1" si="2"/>
        <v>0.15384335128281729</v>
      </c>
      <c r="M22" s="37" t="e" vm="4">
        <f ca="1"/>
        <v>#VALUE!</v>
      </c>
      <c r="N22" s="37">
        <f ca="1"/>
        <v>8.8490355635587482E-3</v>
      </c>
      <c r="O22" s="59">
        <f ca="1"/>
        <v>105.565</v>
      </c>
      <c r="P22" s="63">
        <f t="shared" ca="1" si="0"/>
        <v>2.0752420994338262E-2</v>
      </c>
      <c r="Q22" s="67" t="s">
        <v>65</v>
      </c>
      <c r="R22" s="65">
        <v>0.01</v>
      </c>
      <c r="S22" s="2"/>
      <c r="T22" s="2"/>
      <c r="U22" s="50"/>
      <c r="V22" s="2"/>
      <c r="W22" s="2"/>
      <c r="X22" s="2"/>
      <c r="Y22" s="2"/>
      <c r="Z22" s="2"/>
      <c r="AA22" s="2"/>
      <c r="AB22" s="2"/>
      <c r="AC22" s="2"/>
      <c r="AD22" s="2"/>
      <c r="AE22" s="2"/>
      <c r="AF22" s="2"/>
    </row>
    <row r="23" spans="1:32" ht="17" thickBot="1" x14ac:dyDescent="0.25">
      <c r="A23" s="2"/>
      <c r="B23" s="37">
        <f ca="1"/>
        <v>1</v>
      </c>
      <c r="C23" s="2"/>
      <c r="D23" s="48" t="str" cm="1">
        <f t="array" aca="1" ref="D23" ca="1">IFERROR(_FV(Table16[[#This Row],[Stock]],"Name"),"")</f>
        <v>VALHI, INC.</v>
      </c>
      <c r="E23" s="49" t="e" vm="5">
        <f t="shared" ca="1" si="1"/>
        <v>#VALUE!</v>
      </c>
      <c r="F23" s="49" cm="1">
        <f t="array" aca="1" ref="F23" ca="1">_xlfn.LET(_xlpm.h,_xlfn.STOCKHISTORY(Table16[[#This Row],[Stock]],EDATE(TODAY(),$F$11),TODAY(),1,0,1),_xlpm.r,_xlfn.DROP(_xlpm.h,1)/_xlfn.DROP(_xlpm.h,-1)-1, _xlfn.VAR.S(_xlpm.r )*52)</f>
        <v>0.36155224956170418</v>
      </c>
      <c r="G23" s="49">
        <f ca="1">Table16[[#This Row],[Varience]]^2</f>
        <v>0.1307200291631288</v>
      </c>
      <c r="H23" s="49" cm="1">
        <f t="array" aca="1" ref="H23" ca="1">_xlfn.LET(_xlpm.x,Table16[Weight],_xlpm.y,INDEX(_xlfn.ANCHORARRAY($U$14), ROW()-18, 0),SUMPRODUCT(TRANSPOSE(_xlpm.y),_xlpm.x))</f>
        <v>2.7329646599188514E-2</v>
      </c>
      <c r="I23" s="49">
        <f ca="1">Table16[[#This Row],[Covariance With Portfolio]]/$I$8</f>
        <v>0.73029304587637478</v>
      </c>
      <c r="J23" s="49" cm="1">
        <f t="array" aca="1" ref="J23" ca="1">_xlfn.LET(_xlpm.h,_xlfn.STOCKHISTORY(Table16[[#This Row],[Stock]],EDATE(TODAY(),$F$11),TODAY(),1,0,1),_xlpm.r,_xlfn.DROP(_xlpm.h,1)/_xlfn.DROP(_xlpm.h,-1)-1,AVERAGE(_xlpm.r)*52)</f>
        <v>-8.2787222705524854E-3</v>
      </c>
      <c r="K23" s="49" cm="1">
        <f t="array" aca="1" ref="K23" ca="1">_xlfn.LET(_xlpm.h,_xlfn.STOCKHISTORY(Table16[[#This Row],[Stock]],EDATE(TODAY(),$F$11),TODAY(),1,0,1),_xlpm.r,_xlfn.DROP(_xlpm.h,1)/_xlfn.DROP(_xlpm.h,-1)-1,GEOMEAN(1+_xlpm.r)^52-1)</f>
        <v>-0.17640021176593479</v>
      </c>
      <c r="L23" s="56">
        <f t="shared" ca="1" si="2"/>
        <v>2.0752420994338262E-2</v>
      </c>
      <c r="M23" s="37" t="e" vm="5">
        <f ca="1"/>
        <v>#VALUE!</v>
      </c>
      <c r="N23" s="37">
        <f ca="1"/>
        <v>2.717734060313335E-2</v>
      </c>
      <c r="O23" s="59">
        <f ca="1"/>
        <v>14.24</v>
      </c>
      <c r="P23" s="63">
        <f t="shared" ca="1" si="0"/>
        <v>0.378148749972675</v>
      </c>
      <c r="Q23" s="67" t="s">
        <v>65</v>
      </c>
      <c r="R23" s="65">
        <v>0.01</v>
      </c>
      <c r="S23" s="2"/>
      <c r="T23" s="2"/>
      <c r="U23" s="2"/>
      <c r="V23" s="2"/>
      <c r="W23" s="2"/>
      <c r="X23" s="2"/>
      <c r="Y23" s="2"/>
      <c r="Z23" s="2"/>
      <c r="AA23" s="2"/>
      <c r="AB23" s="2"/>
      <c r="AC23" s="2"/>
      <c r="AD23" s="2"/>
      <c r="AE23" s="2"/>
      <c r="AF23" s="2"/>
    </row>
    <row r="24" spans="1:32" ht="17" thickBot="1" x14ac:dyDescent="0.25">
      <c r="A24" s="2"/>
      <c r="B24" s="72">
        <f ca="1"/>
        <v>1</v>
      </c>
      <c r="C24" s="2"/>
      <c r="D24" s="48" t="str" cm="1">
        <f t="array" aca="1" ref="D24" ca="1">IFERROR(_FV(Table16[[#This Row],[Stock]],"Name"),"")</f>
        <v>APPLE INC.</v>
      </c>
      <c r="E24" s="49" t="e" vm="6">
        <f t="shared" ca="1" si="1"/>
        <v>#VALUE!</v>
      </c>
      <c r="F24" s="49" cm="1">
        <f t="array" aca="1" ref="F24" ca="1">_xlfn.LET(_xlpm.h,_xlfn.STOCKHISTORY(Table16[[#This Row],[Stock]],EDATE(TODAY(),$F$11),TODAY(),1,0,1),_xlpm.r,_xlfn.DROP(_xlpm.h,1)/_xlfn.DROP(_xlpm.h,-1)-1, _xlfn.VAR.S(_xlpm.r )*52)</f>
        <v>6.5971127369102836E-2</v>
      </c>
      <c r="G24" s="49">
        <f ca="1">Table16[[#This Row],[Varience]]^2</f>
        <v>4.3521896463503892E-3</v>
      </c>
      <c r="H24" s="49" cm="1">
        <f t="array" aca="1" ref="H24" ca="1">_xlfn.LET(_xlpm.x,Table16[Weight],_xlpm.y,INDEX(_xlfn.ANCHORARRAY($U$14), ROW()-18, 0),SUMPRODUCT(TRANSPOSE(_xlpm.y),_xlpm.x))</f>
        <v>3.8002379023459723E-2</v>
      </c>
      <c r="I24" s="49">
        <f ca="1">Table16[[#This Row],[Covariance With Portfolio]]/$I$8</f>
        <v>1.0154859861383978</v>
      </c>
      <c r="J24" s="49" cm="1">
        <f t="array" aca="1" ref="J24" ca="1">_xlfn.LET(_xlpm.h,_xlfn.STOCKHISTORY(Table16[[#This Row],[Stock]],EDATE(TODAY(),$F$11),TODAY(),1,0,1),_xlpm.r,_xlfn.DROP(_xlpm.h,1)/_xlfn.DROP(_xlpm.h,-1)-1,AVERAGE(_xlpm.r)*52)</f>
        <v>0.20602698862952357</v>
      </c>
      <c r="K24" s="49" cm="1">
        <f t="array" aca="1" ref="K24" ca="1">_xlfn.LET(_xlpm.h,_xlfn.STOCKHISTORY(Table16[[#This Row],[Stock]],EDATE(TODAY(),$F$11),TODAY(),1,0,1),_xlpm.r,_xlfn.DROP(_xlpm.h,1)/_xlfn.DROP(_xlpm.h,-1)-1,GEOMEAN(1+_xlpm.r)^52-1)</f>
        <v>0.18866224471147497</v>
      </c>
      <c r="L24" s="56">
        <f t="shared" ca="1" si="2"/>
        <v>0.378148749972675</v>
      </c>
      <c r="M24" s="51" t="e" vm="6">
        <f ca="1"/>
        <v>#VALUE!</v>
      </c>
      <c r="N24" s="51">
        <f ca="1"/>
        <v>2.2583925250373161E-2</v>
      </c>
      <c r="O24" s="61">
        <f ca="1"/>
        <v>259.48</v>
      </c>
      <c r="P24" s="69">
        <f ca="1">M9</f>
        <v>6.479933870276651E-2</v>
      </c>
      <c r="Q24" s="68" t="s">
        <v>65</v>
      </c>
      <c r="R24" s="70">
        <v>0</v>
      </c>
      <c r="S24" s="2"/>
      <c r="T24" s="2"/>
      <c r="U24" s="2"/>
      <c r="V24" s="2"/>
      <c r="W24" s="2"/>
      <c r="X24" s="2"/>
      <c r="Y24" s="2"/>
      <c r="Z24" s="2"/>
      <c r="AA24" s="2"/>
      <c r="AB24" s="2"/>
      <c r="AC24" s="2"/>
      <c r="AD24" s="2"/>
      <c r="AE24" s="2"/>
      <c r="AF24" s="2"/>
    </row>
    <row r="25" spans="1:32" x14ac:dyDescent="0.2">
      <c r="A25" s="2"/>
      <c r="B25" s="2"/>
      <c r="C25" s="2"/>
      <c r="D25" s="5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row>
    <row r="26" spans="1:32" ht="18" x14ac:dyDescent="0.2">
      <c r="A26" s="2"/>
      <c r="B26" s="2"/>
      <c r="C26" s="2"/>
      <c r="D26" s="2"/>
      <c r="E26" s="2"/>
      <c r="F26" s="2"/>
      <c r="G26" s="2"/>
      <c r="H26" s="2"/>
      <c r="I26" s="2"/>
      <c r="J26" s="2"/>
      <c r="K26" s="2"/>
      <c r="L26" s="2"/>
      <c r="M26" s="2"/>
      <c r="N26" s="2"/>
      <c r="O26" s="2"/>
      <c r="P26" s="2"/>
      <c r="Q26" s="2"/>
      <c r="R26" s="2"/>
      <c r="S26" s="2"/>
      <c r="T26" s="2"/>
      <c r="U26" s="2"/>
      <c r="V26" s="53"/>
      <c r="W26" s="2"/>
      <c r="X26" s="2"/>
      <c r="Y26" s="2"/>
      <c r="Z26" s="2"/>
      <c r="AA26" s="2"/>
      <c r="AB26" s="2"/>
      <c r="AC26" s="2"/>
      <c r="AD26" s="2"/>
      <c r="AE26" s="2"/>
      <c r="AF26" s="2"/>
    </row>
    <row r="27" spans="1:32" x14ac:dyDescent="0.2">
      <c r="A27" s="2"/>
      <c r="B27" s="2"/>
      <c r="C27" s="2"/>
      <c r="D27" s="2"/>
      <c r="E27" s="2"/>
      <c r="F27" s="2"/>
      <c r="G27" s="2"/>
      <c r="H27" s="2"/>
      <c r="I27" s="2"/>
      <c r="J27" s="2"/>
      <c r="K27" s="2"/>
      <c r="L27" s="57"/>
      <c r="M27" s="2"/>
      <c r="N27" s="2"/>
      <c r="O27" s="2"/>
      <c r="P27" s="2"/>
      <c r="Q27" s="2"/>
      <c r="R27" s="2"/>
      <c r="S27" s="2"/>
      <c r="T27" s="2"/>
      <c r="U27" s="2"/>
      <c r="V27" s="2"/>
      <c r="W27" s="2"/>
      <c r="X27" s="2"/>
      <c r="Y27" s="2"/>
      <c r="Z27" s="2"/>
      <c r="AA27" s="2"/>
      <c r="AB27" s="2"/>
      <c r="AC27" s="2"/>
      <c r="AD27" s="2"/>
      <c r="AE27" s="2"/>
      <c r="AF27" s="2"/>
    </row>
    <row r="28" spans="1:32" x14ac:dyDescent="0.2">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row>
    <row r="29" spans="1:32" x14ac:dyDescent="0.2">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row>
    <row r="30" spans="1:32" x14ac:dyDescent="0.2">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x14ac:dyDescent="0.2">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x14ac:dyDescent="0.2">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x14ac:dyDescent="0.2">
      <c r="A33" s="2"/>
      <c r="B33" s="2"/>
      <c r="C33" s="2"/>
      <c r="D33" s="2"/>
      <c r="E33" s="2"/>
      <c r="F33" s="2"/>
      <c r="G33" s="2"/>
      <c r="I33" s="2"/>
      <c r="J33" s="2"/>
      <c r="K33" s="2"/>
      <c r="L33" s="2"/>
      <c r="M33" s="2"/>
      <c r="N33" s="2"/>
      <c r="O33" s="2"/>
      <c r="P33" s="2"/>
      <c r="Q33" s="2"/>
      <c r="R33" s="2"/>
      <c r="S33" s="2"/>
      <c r="T33" s="2"/>
      <c r="U33" s="2"/>
      <c r="V33" s="2"/>
      <c r="W33" s="2"/>
      <c r="X33" s="2"/>
      <c r="Y33" s="2"/>
      <c r="Z33" s="2"/>
      <c r="AA33" s="2"/>
      <c r="AB33" s="2"/>
      <c r="AC33" s="2"/>
      <c r="AD33" s="2"/>
      <c r="AE33" s="2"/>
      <c r="AF33" s="2"/>
    </row>
    <row r="34" spans="1:32" x14ac:dyDescent="0.2">
      <c r="A34" s="2"/>
      <c r="B34" s="2"/>
      <c r="C34" s="2"/>
      <c r="D34" s="2"/>
      <c r="E34" s="2"/>
      <c r="F34" s="2"/>
      <c r="G34" s="54"/>
      <c r="I34" s="2"/>
      <c r="J34" s="2"/>
      <c r="K34" s="2"/>
      <c r="L34" s="2"/>
      <c r="M34" s="2"/>
      <c r="N34" s="2"/>
      <c r="O34" s="2"/>
      <c r="P34" s="2"/>
      <c r="Q34" s="2"/>
      <c r="R34" s="2"/>
      <c r="S34" s="2"/>
      <c r="T34" s="2"/>
      <c r="U34" s="2"/>
      <c r="V34" s="2"/>
      <c r="W34" s="2"/>
      <c r="X34" s="2"/>
      <c r="Y34" s="2"/>
      <c r="Z34" s="2"/>
      <c r="AA34" s="2"/>
      <c r="AB34" s="2"/>
      <c r="AC34" s="2"/>
      <c r="AD34" s="2"/>
      <c r="AE34" s="2"/>
      <c r="AF34" s="2"/>
    </row>
    <row r="35" spans="1:32" x14ac:dyDescent="0.2">
      <c r="A35" s="2"/>
      <c r="B35" s="2"/>
      <c r="C35" s="2"/>
      <c r="D35" s="2"/>
      <c r="E35" s="2"/>
      <c r="F35" s="2"/>
      <c r="G35" s="2"/>
      <c r="I35" s="2"/>
      <c r="J35" s="2"/>
      <c r="K35" s="2"/>
      <c r="L35" s="2"/>
      <c r="M35" s="2"/>
      <c r="N35" s="2"/>
      <c r="O35" s="2"/>
      <c r="P35" s="2"/>
      <c r="Q35" s="2"/>
      <c r="R35" s="2"/>
      <c r="S35" s="2"/>
      <c r="T35" s="2"/>
      <c r="U35" s="2"/>
      <c r="V35" s="2"/>
      <c r="W35" s="2"/>
      <c r="X35" s="2"/>
      <c r="Y35" s="2"/>
      <c r="Z35" s="2"/>
      <c r="AA35" s="2"/>
      <c r="AB35" s="2"/>
      <c r="AC35" s="2"/>
      <c r="AD35" s="2"/>
      <c r="AE35" s="2"/>
      <c r="AF35" s="2"/>
    </row>
  </sheetData>
  <mergeCells count="42">
    <mergeCell ref="E8:F8"/>
    <mergeCell ref="K2:L3"/>
    <mergeCell ref="M2:N3"/>
    <mergeCell ref="O2:P3"/>
    <mergeCell ref="Q2:R3"/>
    <mergeCell ref="B2:F4"/>
    <mergeCell ref="B6:C7"/>
    <mergeCell ref="E6:F7"/>
    <mergeCell ref="I2:J3"/>
    <mergeCell ref="I4:J5"/>
    <mergeCell ref="O4:P5"/>
    <mergeCell ref="Q4:R5"/>
    <mergeCell ref="Q8:R8"/>
    <mergeCell ref="S4:T5"/>
    <mergeCell ref="U4:V5"/>
    <mergeCell ref="S2:T3"/>
    <mergeCell ref="U2:V3"/>
    <mergeCell ref="T11:W12"/>
    <mergeCell ref="D16:O17"/>
    <mergeCell ref="P16:R16"/>
    <mergeCell ref="O6:P6"/>
    <mergeCell ref="H2:H9"/>
    <mergeCell ref="O7:P7"/>
    <mergeCell ref="Q6:R6"/>
    <mergeCell ref="Q7:R7"/>
    <mergeCell ref="C13:D13"/>
    <mergeCell ref="B8:C8"/>
    <mergeCell ref="I6:J7"/>
    <mergeCell ref="K6:L7"/>
    <mergeCell ref="I8:J9"/>
    <mergeCell ref="K8:L9"/>
    <mergeCell ref="K4:L5"/>
    <mergeCell ref="M4:N5"/>
    <mergeCell ref="O8:P8"/>
    <mergeCell ref="Q9:R9"/>
    <mergeCell ref="S6:T7"/>
    <mergeCell ref="S8:T9"/>
    <mergeCell ref="O9:P9"/>
    <mergeCell ref="M6:N6"/>
    <mergeCell ref="M7:N7"/>
    <mergeCell ref="M8:N8"/>
    <mergeCell ref="M9:N9"/>
  </mergeCells>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7" r:id="rId3" name="Drop Down 7">
              <controlPr defaultSize="0" autoLine="0" autoPict="0" macro="[0]!Dropdown7_Change">
                <anchor moveWithCells="1">
                  <from>
                    <xdr:col>4</xdr:col>
                    <xdr:colOff>12700</xdr:colOff>
                    <xdr:row>11</xdr:row>
                    <xdr:rowOff>114300</xdr:rowOff>
                  </from>
                  <to>
                    <xdr:col>5</xdr:col>
                    <xdr:colOff>1028700</xdr:colOff>
                    <xdr:row>13</xdr:row>
                    <xdr:rowOff>0</xdr:rowOff>
                  </to>
                </anchor>
              </controlPr>
            </control>
          </mc:Choice>
        </mc:AlternateContent>
        <mc:AlternateContent xmlns:mc="http://schemas.openxmlformats.org/markup-compatibility/2006">
          <mc:Choice Requires="x14">
            <control shapeId="10248" r:id="rId4" name="Button 8">
              <controlPr defaultSize="0" print="0" autoFill="0" autoPict="0" macro="[0]!RefreshAllData">
                <anchor moveWithCells="1" sizeWithCells="1">
                  <from>
                    <xdr:col>1</xdr:col>
                    <xdr:colOff>139700</xdr:colOff>
                    <xdr:row>8</xdr:row>
                    <xdr:rowOff>215900</xdr:rowOff>
                  </from>
                  <to>
                    <xdr:col>2</xdr:col>
                    <xdr:colOff>1841500</xdr:colOff>
                    <xdr:row>11</xdr:row>
                    <xdr:rowOff>139700</xdr:rowOff>
                  </to>
                </anchor>
              </controlPr>
            </control>
          </mc:Choice>
        </mc:AlternateContent>
        <mc:AlternateContent xmlns:mc="http://schemas.openxmlformats.org/markup-compatibility/2006">
          <mc:Choice Requires="x14">
            <control shapeId="10250" r:id="rId5" name="Button 10">
              <controlPr defaultSize="0" print="0" autoFill="0" autoPict="0" macro="[0]!AutoFit_Sheet_Width_Button">
                <anchor moveWithCells="1" sizeWithCells="1">
                  <from>
                    <xdr:col>3</xdr:col>
                    <xdr:colOff>190500</xdr:colOff>
                    <xdr:row>9</xdr:row>
                    <xdr:rowOff>12700</xdr:rowOff>
                  </from>
                  <to>
                    <xdr:col>3</xdr:col>
                    <xdr:colOff>1587500</xdr:colOff>
                    <xdr:row>11</xdr:row>
                    <xdr:rowOff>165100</xdr:rowOff>
                  </to>
                </anchor>
              </controlPr>
            </control>
          </mc:Choice>
        </mc:AlternateContent>
        <mc:AlternateContent xmlns:mc="http://schemas.openxmlformats.org/markup-compatibility/2006">
          <mc:Choice Requires="x14">
            <control shapeId="10252" r:id="rId6" name="Button 12">
              <controlPr defaultSize="0" print="0" autoFill="0" autoPict="0" macro="[0]!SyncMainTableToM">
                <anchor moveWithCells="1" sizeWithCells="1">
                  <from>
                    <xdr:col>3</xdr:col>
                    <xdr:colOff>177800</xdr:colOff>
                    <xdr:row>5</xdr:row>
                    <xdr:rowOff>76200</xdr:rowOff>
                  </from>
                  <to>
                    <xdr:col>3</xdr:col>
                    <xdr:colOff>1600200</xdr:colOff>
                    <xdr:row>8</xdr:row>
                    <xdr:rowOff>0</xdr:rowOff>
                  </to>
                </anchor>
              </controlPr>
            </control>
          </mc:Choice>
        </mc:AlternateContent>
      </controls>
    </mc:Choice>
  </mc:AlternateContent>
  <tableParts count="1">
    <tablePart r:id="rId7"/>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Instructoins</vt:lpstr>
      <vt:lpstr>STOCKS "Base Sheet"</vt:lpstr>
      <vt:lpstr>STOCKS "Example"</vt:lpstr>
      <vt:lpstr>PORTFOLIO ANALYZER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Edelstein, Zachary D</dc:creator>
  <cp:lastModifiedBy>Edelstein, Zachary D</cp:lastModifiedBy>
  <dcterms:created xsi:type="dcterms:W3CDTF">2025-12-20T00:33:52Z</dcterms:created>
  <dcterms:modified xsi:type="dcterms:W3CDTF">2026-02-01T08:24:33Z</dcterms:modified>
</cp:coreProperties>
</file>