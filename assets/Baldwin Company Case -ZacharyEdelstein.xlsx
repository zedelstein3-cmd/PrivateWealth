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0"/>
  <workbookPr filterPrivacy="1" defaultThemeVersion="124226"/>
  <xr:revisionPtr revIDLastSave="0" documentId="8_{1DEBC020-3A0D-B943-8049-A88005D97C22}" xr6:coauthVersionLast="47" xr6:coauthVersionMax="47" xr10:uidLastSave="{00000000-0000-0000-0000-000000000000}"/>
  <bookViews>
    <workbookView xWindow="6640" yWindow="1100" windowWidth="17580" windowHeight="17180"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1" l="1"/>
  <c r="D21" i="1"/>
  <c r="J60" i="1"/>
  <c r="I20" i="1"/>
  <c r="I59" i="1"/>
  <c r="I40" i="1"/>
  <c r="I10" i="1" s="1"/>
  <c r="H40" i="1"/>
  <c r="H10" i="1" s="1"/>
  <c r="G40" i="1"/>
  <c r="F40" i="1"/>
  <c r="I37" i="1"/>
  <c r="I9" i="1" s="1"/>
  <c r="H37" i="1"/>
  <c r="H9" i="1" s="1"/>
  <c r="H59" i="1" s="1"/>
  <c r="G37" i="1"/>
  <c r="G9" i="1" s="1"/>
  <c r="G59" i="1" s="1"/>
  <c r="G60" i="1" s="1"/>
  <c r="G20" i="1" s="1"/>
  <c r="I19" i="1"/>
  <c r="E25" i="1"/>
  <c r="F20" i="1"/>
  <c r="E20" i="1"/>
  <c r="D20" i="1"/>
  <c r="D19" i="1"/>
  <c r="F16" i="1"/>
  <c r="G16" i="1"/>
  <c r="H16" i="1"/>
  <c r="I16" i="1"/>
  <c r="E16" i="1"/>
  <c r="E13" i="1"/>
  <c r="E10" i="1"/>
  <c r="F11" i="1"/>
  <c r="G11" i="1"/>
  <c r="H11" i="1"/>
  <c r="I11" i="1"/>
  <c r="E11" i="1"/>
  <c r="E12" i="1" s="1"/>
  <c r="F9" i="1"/>
  <c r="E9" i="1"/>
  <c r="E59" i="1" s="1"/>
  <c r="F59" i="1"/>
  <c r="D59" i="1"/>
  <c r="I52" i="1"/>
  <c r="I49" i="1"/>
  <c r="H49" i="1"/>
  <c r="G49" i="1"/>
  <c r="F49" i="1"/>
  <c r="E49" i="1"/>
  <c r="I48" i="1"/>
  <c r="H48" i="1"/>
  <c r="G48" i="1"/>
  <c r="F48" i="1"/>
  <c r="E48" i="1"/>
  <c r="I47" i="1"/>
  <c r="H47" i="1"/>
  <c r="G47" i="1"/>
  <c r="F47" i="1"/>
  <c r="E47" i="1"/>
  <c r="G10" i="1"/>
  <c r="F10" i="1"/>
  <c r="F12" i="1" s="1"/>
  <c r="F13" i="1" s="1"/>
  <c r="F37" i="1"/>
  <c r="I60" i="1" l="1"/>
  <c r="D22" i="1"/>
  <c r="D24" i="1" s="1"/>
  <c r="H60" i="1"/>
  <c r="H20" i="1" s="1"/>
  <c r="F60" i="1"/>
  <c r="E60" i="1"/>
  <c r="I53" i="1"/>
  <c r="E14" i="1"/>
  <c r="E17" i="1" s="1"/>
  <c r="F14" i="1"/>
  <c r="F17" i="1" s="1"/>
  <c r="I12" i="1"/>
  <c r="I13" i="1" s="1"/>
  <c r="E22" i="1"/>
  <c r="F22" i="1"/>
  <c r="D25" i="1" l="1"/>
  <c r="E24" i="1"/>
  <c r="F24" i="1"/>
  <c r="F25" i="1" s="1"/>
  <c r="H12" i="1"/>
  <c r="H13" i="1" s="1"/>
  <c r="I14" i="1"/>
  <c r="I17" i="1" s="1"/>
  <c r="G22" i="1"/>
  <c r="G12" i="1"/>
  <c r="G13" i="1" s="1"/>
  <c r="H14" i="1" l="1"/>
  <c r="H17" i="1" s="1"/>
  <c r="I22" i="1"/>
  <c r="I24" i="1" s="1"/>
  <c r="G14" i="1"/>
  <c r="G17" i="1" s="1"/>
  <c r="G24" i="1" s="1"/>
  <c r="G25" i="1" s="1"/>
  <c r="H22" i="1"/>
  <c r="I25" i="1" l="1"/>
  <c r="D27" i="1" s="1"/>
  <c r="H24" i="1"/>
  <c r="H25" i="1" s="1"/>
  <c r="D29" i="1" l="1"/>
</calcChain>
</file>

<file path=xl/sharedStrings.xml><?xml version="1.0" encoding="utf-8"?>
<sst xmlns="http://schemas.openxmlformats.org/spreadsheetml/2006/main" count="52" uniqueCount="50">
  <si>
    <t>PV of Cash Flows</t>
  </si>
  <si>
    <t>IRR</t>
  </si>
  <si>
    <t>Assumptions</t>
  </si>
  <si>
    <t>Sales</t>
  </si>
  <si>
    <t>Other</t>
  </si>
  <si>
    <t>Project Baldwin Company</t>
  </si>
  <si>
    <t>Opportunity Costs</t>
  </si>
  <si>
    <t>Investment in Fixed Assets</t>
  </si>
  <si>
    <t>Bowling Ball Machine</t>
  </si>
  <si>
    <t>Depreciation</t>
  </si>
  <si>
    <t xml:space="preserve">Depreciation </t>
  </si>
  <si>
    <t>Depreciation Schedule (5-year MACRS)</t>
  </si>
  <si>
    <t>Accumulated Depreciation</t>
  </si>
  <si>
    <t>Adjusted Basis (net of depreciation)</t>
  </si>
  <si>
    <t>Taxes</t>
  </si>
  <si>
    <t>Sales and Expenses</t>
  </si>
  <si>
    <t>Net Income</t>
  </si>
  <si>
    <t>Investment in Net Working Capital</t>
  </si>
  <si>
    <t>Cash Flows from Operations</t>
  </si>
  <si>
    <t>Earnings Before Taxes (EBT)</t>
  </si>
  <si>
    <t>Operating Costs</t>
  </si>
  <si>
    <t>Cash Flows from Investing</t>
  </si>
  <si>
    <t>Total Cash Flows from Project</t>
  </si>
  <si>
    <t>Project Valuation Analysis</t>
  </si>
  <si>
    <t>(+) Depreciation</t>
  </si>
  <si>
    <t xml:space="preserve">NPV </t>
  </si>
  <si>
    <t>Discount Rate</t>
  </si>
  <si>
    <t>Corporate Tax Rate</t>
  </si>
  <si>
    <t>Unit Production</t>
  </si>
  <si>
    <t>Sales Price (per unit)</t>
  </si>
  <si>
    <t>Annual Price Increase</t>
  </si>
  <si>
    <t>Production Cost (per unit)</t>
  </si>
  <si>
    <t>Annual Cost Increase</t>
  </si>
  <si>
    <t>Taxes Due on Sale</t>
  </si>
  <si>
    <t>Gross Sales Price at the End of Useful Life (Salvage Value)</t>
  </si>
  <si>
    <t>Initial Investment in NWC</t>
  </si>
  <si>
    <t>NWC (% of sales)</t>
  </si>
  <si>
    <t>Change in NWC</t>
  </si>
  <si>
    <t>NWC Balance</t>
  </si>
  <si>
    <t>Factory Site (after-tax)</t>
  </si>
  <si>
    <t>Costs of Test Marketing</t>
  </si>
  <si>
    <t>Net Sales Price at the End of Useful Life (Salvage Value)</t>
  </si>
  <si>
    <t>Student Name:</t>
  </si>
  <si>
    <t>Last Name, First Name</t>
  </si>
  <si>
    <t>Should Baldwin Company pursue the opportunity?</t>
  </si>
  <si>
    <t>Other Investments</t>
  </si>
  <si>
    <t>Student Name - 2 (if applicable):</t>
  </si>
  <si>
    <t>Edelstein, Zachary</t>
  </si>
  <si>
    <t>Year 5 reversal</t>
  </si>
  <si>
    <r>
      <t xml:space="preserve">No Baldwin </t>
    </r>
    <r>
      <rPr>
        <b/>
        <sz val="11"/>
        <color theme="1"/>
        <rFont val="Aril"/>
      </rPr>
      <t>should not pursue the opportunity</t>
    </r>
    <r>
      <rPr>
        <sz val="11"/>
        <color theme="1"/>
        <rFont val="Aril"/>
      </rPr>
      <t xml:space="preserve">. </t>
    </r>
    <r>
      <rPr>
        <b/>
        <sz val="11"/>
        <color theme="1"/>
        <rFont val="Aril"/>
      </rPr>
      <t>First</t>
    </r>
    <r>
      <rPr>
        <sz val="11"/>
        <color theme="1"/>
        <rFont val="Aril"/>
      </rPr>
      <t xml:space="preserve">, the internal rate of return is 10.22%, which is less than the 13% discount rate. Since the IRR fails to meet(breakeven) or surpass the 13% required return, the project would destroy value. </t>
    </r>
    <r>
      <rPr>
        <b/>
        <sz val="11"/>
        <color theme="1"/>
        <rFont val="Aril"/>
      </rPr>
      <t>Second,</t>
    </r>
    <r>
      <rPr>
        <sz val="11"/>
        <color theme="1"/>
        <rFont val="Aril"/>
      </rPr>
      <t xml:space="preserve"> the NPV is negative -- (30,098). This means that its discoounted cash inflows would be less than its discounted outflows. By choosing to pursue this opportunity, Baldwin would actually decrease shareholder value by 30,098 when compared to the other optoin of selling the property. When trying to analyze the main reason as to why this opportunity doesnt work, I noticed unusual demand fluctuatoins, annual cost increasing higher at 9% then price at 2.5%, and more. However, the main reason why this project wouldnt work is because of the net opportunity costs it incurs (175,000) from the optoin to sell the land the factory will work on. The NPV, and IRR are calculated with this cost in mind, subtracting it from cashflows at year zero, then adding it back at the end of the project to account for the optoin to sell again. </t>
    </r>
    <r>
      <rPr>
        <b/>
        <sz val="11"/>
        <color theme="1"/>
        <rFont val="Aril"/>
      </rPr>
      <t>Next</t>
    </r>
    <r>
      <rPr>
        <sz val="11"/>
        <color theme="1"/>
        <rFont val="Aril"/>
      </rPr>
      <t xml:space="preserve">, To test the difference, I removed this opportunity cost from the cash flows and found that the IRR was 23.33%, much higher than 13%, and that the NPV was 49,919, which would stockholders equity. While he should definitely not pursue this opportunity givin the current circumstances, this finding leads to other possibilities. For example, if he doesnt give up the opportunity to sell or to give up the project, he would have a 49,919 leeway to find out how. Likely he could do this by instead opting to rent a building, and by improving his cash flows through expirimenting with his cost structure. For example, since the cost of materials increase by 9% every year, he could expiriment with potentially cheaper alternatives like producing all the bowling balls the first year, selling the machine after, and then only paying for storage the next 4. Another possible solutoin could be waiting 1 year to sell the land, making all bowling balls that year, selling the machine and the land, then only paying for storage. This could signifigantly improve the IRR and NPV since the opportunity cost would be discounted at the required rate a total of 4 years less. </t>
    </r>
    <r>
      <rPr>
        <b/>
        <sz val="11"/>
        <color theme="1"/>
        <rFont val="Aril"/>
      </rPr>
      <t>Overal</t>
    </r>
    <r>
      <rPr>
        <sz val="11"/>
        <color theme="1"/>
        <rFont val="Aril"/>
      </rPr>
      <t xml:space="preserve">l, while Baldwin still has possibilities to look into, he should definately not pursue this opportunity if it means giving up the opportunity to sell the building and land for 5 years.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</si>
</sst>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164" formatCode="&quot;$&quot;#,##0"/>
    <numFmt numFmtId="165" formatCode="&quot;Year&quot;\ 0"/>
    <numFmt numFmtId="166" formatCode="_(* #,##0_);_(* \(#,##0\);_(* &quot;-&quot;??_);_(@_)"/>
    <numFmt numFmtId="167" formatCode="0.0%"/>
    <numFmt numFmtId="168" formatCode="_(&quot;$&quot;* #,##0.00_);_(&quot;$&quot;* \(#,##0.00\);_(&quot;$&quot;* &quot;-&quot;_);_(@_)"/>
  </numFmts>
  <fonts count="15">
    <font>
      <sz val="11"/>
      <color theme="1"/>
      <name val="Calibri"/>
      <family val="2"/>
      <scheme val="minor"/>
    </font>
    <font>
      <sz val="11"/>
      <color theme="1"/>
      <name val="Aril"/>
    </font>
    <font>
      <u/>
      <sz val="11"/>
      <color theme="1"/>
      <name val="Aril"/>
    </font>
    <font>
      <sz val="11"/>
      <color rgb="FF0070C0"/>
      <name val="Aril"/>
    </font>
    <font>
      <b/>
      <u/>
      <sz val="11"/>
      <color theme="1"/>
      <name val="Aril"/>
    </font>
    <font>
      <i/>
      <sz val="16"/>
      <color theme="1"/>
      <name val="Aril"/>
    </font>
    <font>
      <b/>
      <sz val="11"/>
      <color theme="1"/>
      <name val="Aril"/>
    </font>
    <font>
      <sz val="11"/>
      <name val="Aril"/>
    </font>
    <font>
      <b/>
      <sz val="11"/>
      <name val="Aril"/>
    </font>
    <font>
      <sz val="10"/>
      <name val="Arial"/>
      <family val="2"/>
    </font>
    <font>
      <i/>
      <sz val="12"/>
      <name val="Arial"/>
      <family val="2"/>
    </font>
    <font>
      <b/>
      <sz val="14"/>
      <name val="Arial"/>
      <family val="2"/>
    </font>
    <font>
      <sz val="10"/>
      <color rgb="FF0070C0"/>
      <name val="Arial"/>
      <family val="2"/>
    </font>
    <font>
      <sz val="10"/>
      <color rgb="FF0070C0"/>
      <name val="Calibri"/>
      <family val="2"/>
      <scheme val="minor"/>
    </font>
    <font>
      <sz val="10"/>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12">
    <border>
      <left/>
      <right/>
      <top/>
      <bottom/>
      <diagonal/>
    </border>
    <border>
      <left/>
      <right/>
      <top style="thin">
        <color auto="1"/>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9" fillId="0" borderId="0"/>
    <xf numFmtId="9" fontId="9" fillId="0" borderId="0" applyFont="0" applyFill="0" applyBorder="0" applyAlignment="0" applyProtection="0"/>
  </cellStyleXfs>
  <cellXfs count="50">
    <xf numFmtId="0" fontId="0" fillId="0" borderId="0" xfId="0"/>
    <xf numFmtId="0" fontId="1" fillId="0" borderId="0" xfId="0" applyFont="1"/>
    <xf numFmtId="165" fontId="2" fillId="0" borderId="0" xfId="0" applyNumberFormat="1" applyFont="1" applyAlignment="1">
      <alignment horizontal="center"/>
    </xf>
    <xf numFmtId="2" fontId="1" fillId="0" borderId="0" xfId="0" applyNumberFormat="1" applyFont="1"/>
    <xf numFmtId="0" fontId="4" fillId="0" borderId="0" xfId="0" applyFont="1"/>
    <xf numFmtId="0" fontId="2" fillId="0" borderId="0" xfId="0" applyFont="1"/>
    <xf numFmtId="0" fontId="5" fillId="0" borderId="0" xfId="0" applyFont="1"/>
    <xf numFmtId="42" fontId="1" fillId="0" borderId="0" xfId="0" applyNumberFormat="1" applyFont="1"/>
    <xf numFmtId="166" fontId="1" fillId="0" borderId="0" xfId="0" applyNumberFormat="1" applyFont="1"/>
    <xf numFmtId="10" fontId="3" fillId="0" borderId="0" xfId="0" applyNumberFormat="1" applyFont="1"/>
    <xf numFmtId="42" fontId="1" fillId="0" borderId="1" xfId="0" applyNumberFormat="1" applyFont="1" applyBorder="1"/>
    <xf numFmtId="42" fontId="6" fillId="0" borderId="0" xfId="0" applyNumberFormat="1" applyFont="1"/>
    <xf numFmtId="0" fontId="1" fillId="0" borderId="0" xfId="0" applyFont="1" applyAlignment="1">
      <alignment horizontal="left" indent="1"/>
    </xf>
    <xf numFmtId="0" fontId="1" fillId="0" borderId="0" xfId="0" applyFont="1" applyAlignment="1">
      <alignment horizontal="left" indent="2"/>
    </xf>
    <xf numFmtId="0" fontId="6" fillId="0" borderId="0" xfId="0" applyFont="1" applyAlignment="1">
      <alignment horizontal="left" indent="2"/>
    </xf>
    <xf numFmtId="42" fontId="1" fillId="2" borderId="0" xfId="0" applyNumberFormat="1" applyFont="1" applyFill="1"/>
    <xf numFmtId="41" fontId="1" fillId="2" borderId="0" xfId="0" applyNumberFormat="1" applyFont="1" applyFill="1"/>
    <xf numFmtId="166" fontId="1" fillId="2" borderId="0" xfId="0" applyNumberFormat="1" applyFont="1" applyFill="1"/>
    <xf numFmtId="9" fontId="7" fillId="0" borderId="0" xfId="0" applyNumberFormat="1" applyFont="1" applyAlignment="1">
      <alignment horizontal="right"/>
    </xf>
    <xf numFmtId="0" fontId="1" fillId="0" borderId="0" xfId="0" applyFont="1" applyAlignment="1">
      <alignment horizontal="right"/>
    </xf>
    <xf numFmtId="0" fontId="6" fillId="0" borderId="0" xfId="0" applyFont="1" applyAlignment="1">
      <alignment horizontal="right"/>
    </xf>
    <xf numFmtId="9" fontId="3" fillId="3" borderId="2" xfId="0" applyNumberFormat="1" applyFont="1" applyFill="1" applyBorder="1" applyAlignment="1">
      <alignment horizontal="right"/>
    </xf>
    <xf numFmtId="166" fontId="3" fillId="3" borderId="2" xfId="0" applyNumberFormat="1" applyFont="1" applyFill="1" applyBorder="1"/>
    <xf numFmtId="168" fontId="3" fillId="3" borderId="2" xfId="0" applyNumberFormat="1" applyFont="1" applyFill="1" applyBorder="1"/>
    <xf numFmtId="167" fontId="3" fillId="3" borderId="2" xfId="0" applyNumberFormat="1" applyFont="1" applyFill="1" applyBorder="1"/>
    <xf numFmtId="167" fontId="7" fillId="3" borderId="2" xfId="0" applyNumberFormat="1" applyFont="1" applyFill="1" applyBorder="1"/>
    <xf numFmtId="42" fontId="3" fillId="3" borderId="2" xfId="0" applyNumberFormat="1" applyFont="1" applyFill="1" applyBorder="1"/>
    <xf numFmtId="168" fontId="7" fillId="3" borderId="2" xfId="0" applyNumberFormat="1" applyFont="1" applyFill="1" applyBorder="1"/>
    <xf numFmtId="42" fontId="7" fillId="3" borderId="2" xfId="0" applyNumberFormat="1" applyFont="1" applyFill="1" applyBorder="1"/>
    <xf numFmtId="41" fontId="7" fillId="3" borderId="2" xfId="0" applyNumberFormat="1" applyFont="1" applyFill="1" applyBorder="1"/>
    <xf numFmtId="0" fontId="1" fillId="3" borderId="2" xfId="0" applyFont="1" applyFill="1" applyBorder="1"/>
    <xf numFmtId="41" fontId="1" fillId="3" borderId="2" xfId="0" applyNumberFormat="1" applyFont="1" applyFill="1" applyBorder="1"/>
    <xf numFmtId="166" fontId="1" fillId="3" borderId="2" xfId="0" applyNumberFormat="1" applyFont="1" applyFill="1" applyBorder="1"/>
    <xf numFmtId="42" fontId="8" fillId="3" borderId="2" xfId="0" applyNumberFormat="1" applyFont="1" applyFill="1" applyBorder="1"/>
    <xf numFmtId="10" fontId="1" fillId="3" borderId="2" xfId="0" applyNumberFormat="1" applyFont="1" applyFill="1" applyBorder="1"/>
    <xf numFmtId="9" fontId="3" fillId="3" borderId="2" xfId="0" applyNumberFormat="1" applyFont="1" applyFill="1" applyBorder="1"/>
    <xf numFmtId="164" fontId="1" fillId="0" borderId="0" xfId="0" applyNumberFormat="1" applyFont="1"/>
    <xf numFmtId="0" fontId="6" fillId="0" borderId="0" xfId="0" applyFont="1"/>
    <xf numFmtId="0" fontId="10" fillId="0" borderId="0" xfId="1" applyFont="1"/>
    <xf numFmtId="0" fontId="11" fillId="0" borderId="0" xfId="1" applyFont="1" applyAlignment="1">
      <alignment horizontal="left"/>
    </xf>
    <xf numFmtId="10" fontId="12" fillId="3" borderId="3" xfId="2" applyNumberFormat="1" applyFont="1" applyFill="1" applyBorder="1" applyAlignment="1">
      <alignment horizontal="right"/>
    </xf>
    <xf numFmtId="0" fontId="13" fillId="0" borderId="4" xfId="0" applyFont="1" applyBorder="1" applyAlignment="1">
      <alignment horizontal="right"/>
    </xf>
    <xf numFmtId="0" fontId="14" fillId="0" borderId="5" xfId="0" applyFont="1" applyBorder="1"/>
    <xf numFmtId="0" fontId="1" fillId="0" borderId="0" xfId="0" applyFont="1" applyAlignment="1">
      <alignment horizontal="center" vertical="top"/>
    </xf>
    <xf numFmtId="49" fontId="1" fillId="3" borderId="6" xfId="0" applyNumberFormat="1" applyFont="1" applyFill="1" applyBorder="1" applyAlignment="1">
      <alignment horizontal="left" vertical="top" wrapText="1"/>
    </xf>
    <xf numFmtId="49" fontId="0" fillId="0" borderId="7" xfId="0" applyNumberFormat="1" applyBorder="1" applyAlignment="1">
      <alignment horizontal="left" vertical="top" wrapText="1"/>
    </xf>
    <xf numFmtId="49" fontId="0" fillId="0" borderId="8" xfId="0" applyNumberFormat="1" applyBorder="1" applyAlignment="1">
      <alignment horizontal="left" vertical="top" wrapText="1"/>
    </xf>
    <xf numFmtId="49" fontId="0" fillId="0" borderId="9" xfId="0" applyNumberFormat="1" applyBorder="1" applyAlignment="1">
      <alignment horizontal="left" vertical="top" wrapText="1"/>
    </xf>
    <xf numFmtId="49" fontId="0" fillId="0" borderId="10" xfId="0" applyNumberFormat="1" applyBorder="1" applyAlignment="1">
      <alignment horizontal="left" vertical="top" wrapText="1"/>
    </xf>
    <xf numFmtId="49" fontId="0" fillId="0" borderId="11" xfId="0" applyNumberFormat="1" applyBorder="1" applyAlignment="1">
      <alignment horizontal="left" vertical="top"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70"/>
  <sheetViews>
    <sheetView tabSelected="1" zoomScale="75" zoomScaleNormal="100" workbookViewId="0">
      <selection activeCell="N29" sqref="N29"/>
    </sheetView>
  </sheetViews>
  <sheetFormatPr baseColWidth="10" defaultColWidth="8.6640625" defaultRowHeight="14"/>
  <cols>
    <col min="1" max="1" width="1.83203125" style="1" customWidth="1"/>
    <col min="2" max="2" width="36.33203125" style="1" bestFit="1" customWidth="1"/>
    <col min="3" max="3" width="5.33203125" style="1" customWidth="1"/>
    <col min="4" max="11" width="11.83203125" style="1" customWidth="1"/>
    <col min="12" max="16384" width="8.6640625" style="1"/>
  </cols>
  <sheetData>
    <row r="1" spans="2:10" ht="15" thickBot="1"/>
    <row r="2" spans="2:10" ht="19" thickBot="1">
      <c r="B2" s="38" t="s">
        <v>42</v>
      </c>
      <c r="C2" s="39"/>
      <c r="D2" s="40" t="s">
        <v>47</v>
      </c>
      <c r="E2" s="41"/>
      <c r="F2" s="42"/>
    </row>
    <row r="3" spans="2:10" ht="19" thickBot="1">
      <c r="B3" s="38" t="s">
        <v>46</v>
      </c>
      <c r="C3" s="39"/>
      <c r="D3" s="40" t="s">
        <v>43</v>
      </c>
      <c r="E3" s="41"/>
      <c r="F3" s="42"/>
    </row>
    <row r="5" spans="2:10" ht="21">
      <c r="B5" s="6" t="s">
        <v>5</v>
      </c>
    </row>
    <row r="6" spans="2:10">
      <c r="B6" s="1" t="s">
        <v>23</v>
      </c>
    </row>
    <row r="8" spans="2:10">
      <c r="D8" s="2">
        <v>0</v>
      </c>
      <c r="E8" s="2">
        <v>1</v>
      </c>
      <c r="F8" s="2">
        <v>2</v>
      </c>
      <c r="G8" s="2">
        <v>3</v>
      </c>
      <c r="H8" s="2">
        <v>4</v>
      </c>
      <c r="I8" s="2">
        <v>5</v>
      </c>
    </row>
    <row r="9" spans="2:10">
      <c r="B9" s="1" t="s">
        <v>3</v>
      </c>
      <c r="D9" s="15"/>
      <c r="E9" s="28">
        <f>E36*E37</f>
        <v>112500</v>
      </c>
      <c r="F9" s="28">
        <f t="shared" ref="F9:I9" si="0">F36*F37</f>
        <v>184499.99999999997</v>
      </c>
      <c r="G9" s="28">
        <f t="shared" si="0"/>
        <v>283668.75</v>
      </c>
      <c r="H9" s="28">
        <f t="shared" si="0"/>
        <v>242300.39062499997</v>
      </c>
      <c r="I9" s="28">
        <f t="shared" si="0"/>
        <v>149014.74023437497</v>
      </c>
    </row>
    <row r="10" spans="2:10">
      <c r="B10" s="1" t="s">
        <v>20</v>
      </c>
      <c r="D10" s="16"/>
      <c r="E10" s="31">
        <f>E36*E40</f>
        <v>67500</v>
      </c>
      <c r="F10" s="31">
        <f t="shared" ref="F10:I10" si="1">F36*F40</f>
        <v>117720</v>
      </c>
      <c r="G10" s="31">
        <f t="shared" si="1"/>
        <v>192472.20000000004</v>
      </c>
      <c r="H10" s="31">
        <f t="shared" si="1"/>
        <v>174828.91500000001</v>
      </c>
      <c r="I10" s="31">
        <f t="shared" si="1"/>
        <v>114338.11041000002</v>
      </c>
      <c r="J10" s="7"/>
    </row>
    <row r="11" spans="2:10">
      <c r="B11" s="1" t="s">
        <v>9</v>
      </c>
      <c r="D11" s="16"/>
      <c r="E11" s="31">
        <f>E47</f>
        <v>30000</v>
      </c>
      <c r="F11" s="31">
        <f t="shared" ref="F11:I11" si="2">F47</f>
        <v>48000</v>
      </c>
      <c r="G11" s="31">
        <f t="shared" si="2"/>
        <v>28800</v>
      </c>
      <c r="H11" s="31">
        <f t="shared" si="2"/>
        <v>17280</v>
      </c>
      <c r="I11" s="31">
        <f t="shared" si="2"/>
        <v>17280</v>
      </c>
    </row>
    <row r="12" spans="2:10">
      <c r="B12" s="12" t="s">
        <v>19</v>
      </c>
      <c r="D12" s="15"/>
      <c r="E12" s="10">
        <f>E9-E10-E11</f>
        <v>15000</v>
      </c>
      <c r="F12" s="10">
        <f>F9-F10-F11</f>
        <v>18779.999999999971</v>
      </c>
      <c r="G12" s="10">
        <f>G9-G10-G11</f>
        <v>62396.549999999959</v>
      </c>
      <c r="H12" s="10">
        <f>H9-H10-H11</f>
        <v>50191.475624999963</v>
      </c>
      <c r="I12" s="10">
        <f>I9-I10-I11</f>
        <v>17396.629824374948</v>
      </c>
    </row>
    <row r="13" spans="2:10">
      <c r="B13" s="1" t="s">
        <v>14</v>
      </c>
      <c r="C13" s="18"/>
      <c r="D13" s="17"/>
      <c r="E13" s="32">
        <f>C33*E12</f>
        <v>3450</v>
      </c>
      <c r="F13" s="32">
        <f>F12*C33</f>
        <v>4319.3999999999933</v>
      </c>
      <c r="G13" s="32">
        <f>G12*C33</f>
        <v>14351.206499999991</v>
      </c>
      <c r="H13" s="32">
        <f>H12*C33</f>
        <v>11544.039393749992</v>
      </c>
      <c r="I13" s="32">
        <f>I12*C33</f>
        <v>4001.2248596062382</v>
      </c>
    </row>
    <row r="14" spans="2:10">
      <c r="B14" s="12" t="s">
        <v>16</v>
      </c>
      <c r="C14" s="19"/>
      <c r="D14" s="17"/>
      <c r="E14" s="10">
        <f>E12-E13</f>
        <v>11550</v>
      </c>
      <c r="F14" s="10">
        <f>F12-F13</f>
        <v>14460.599999999977</v>
      </c>
      <c r="G14" s="10">
        <f>G12-G13</f>
        <v>48045.343499999966</v>
      </c>
      <c r="H14" s="10">
        <f>H12-H13</f>
        <v>38647.436231249972</v>
      </c>
      <c r="I14" s="10">
        <f>I12-I13</f>
        <v>13395.40496476871</v>
      </c>
    </row>
    <row r="15" spans="2:10">
      <c r="B15" s="12"/>
      <c r="C15" s="19"/>
      <c r="D15" s="17"/>
      <c r="E15" s="7"/>
      <c r="F15" s="7"/>
      <c r="G15" s="7"/>
      <c r="H15" s="7"/>
      <c r="I15" s="7"/>
    </row>
    <row r="16" spans="2:10">
      <c r="B16" s="1" t="s">
        <v>24</v>
      </c>
      <c r="C16" s="19"/>
      <c r="D16" s="17"/>
      <c r="E16" s="32">
        <f>E11</f>
        <v>30000</v>
      </c>
      <c r="F16" s="32">
        <f t="shared" ref="F16:I16" si="3">F11</f>
        <v>48000</v>
      </c>
      <c r="G16" s="32">
        <f t="shared" si="3"/>
        <v>28800</v>
      </c>
      <c r="H16" s="32">
        <f t="shared" si="3"/>
        <v>17280</v>
      </c>
      <c r="I16" s="32">
        <f t="shared" si="3"/>
        <v>17280</v>
      </c>
    </row>
    <row r="17" spans="2:9">
      <c r="B17" s="12" t="s">
        <v>18</v>
      </c>
      <c r="C17" s="19"/>
      <c r="D17" s="17"/>
      <c r="E17" s="10">
        <f>E14+E16</f>
        <v>41550</v>
      </c>
      <c r="F17" s="10">
        <f>F14+F16</f>
        <v>62460.599999999977</v>
      </c>
      <c r="G17" s="10">
        <f>G14+G16</f>
        <v>76845.343499999959</v>
      </c>
      <c r="H17" s="10">
        <f>H14+H16</f>
        <v>55927.436231249972</v>
      </c>
      <c r="I17" s="10">
        <f>I14+I16</f>
        <v>30675.40496476871</v>
      </c>
    </row>
    <row r="18" spans="2:9">
      <c r="C18" s="19"/>
      <c r="D18" s="8"/>
      <c r="E18" s="8"/>
      <c r="F18" s="8"/>
      <c r="G18" s="8"/>
      <c r="H18" s="8"/>
      <c r="I18" s="8"/>
    </row>
    <row r="19" spans="2:9">
      <c r="B19" s="1" t="s">
        <v>7</v>
      </c>
      <c r="C19" s="19"/>
      <c r="D19" s="31">
        <f>-D44</f>
        <v>-150000</v>
      </c>
      <c r="E19" s="31">
        <v>0</v>
      </c>
      <c r="F19" s="31">
        <v>0</v>
      </c>
      <c r="G19" s="31">
        <v>0</v>
      </c>
      <c r="H19" s="31">
        <v>0</v>
      </c>
      <c r="I19" s="31">
        <f>I53</f>
        <v>36637.199999999997</v>
      </c>
    </row>
    <row r="20" spans="2:9">
      <c r="B20" s="1" t="s">
        <v>17</v>
      </c>
      <c r="C20" s="19"/>
      <c r="D20" s="31">
        <f>-D56</f>
        <v>-15000</v>
      </c>
      <c r="E20" s="31">
        <f>-E60</f>
        <v>1500</v>
      </c>
      <c r="F20" s="31">
        <f t="shared" ref="F20:I20" si="4">-F60</f>
        <v>-8639.9999999999964</v>
      </c>
      <c r="G20" s="31">
        <f t="shared" si="4"/>
        <v>-11900.250000000004</v>
      </c>
      <c r="H20" s="31">
        <f t="shared" si="4"/>
        <v>4964.2031250000036</v>
      </c>
      <c r="I20" s="31">
        <f>-I60+I59</f>
        <v>29076.046874999996</v>
      </c>
    </row>
    <row r="21" spans="2:9">
      <c r="B21" s="1" t="s">
        <v>45</v>
      </c>
      <c r="C21" s="19"/>
      <c r="D21" s="31">
        <f>D63</f>
        <v>-175000</v>
      </c>
      <c r="E21" s="31">
        <v>0</v>
      </c>
      <c r="F21" s="31">
        <v>0</v>
      </c>
      <c r="G21" s="31">
        <v>0</v>
      </c>
      <c r="H21" s="31">
        <v>0</v>
      </c>
      <c r="I21" s="31">
        <f>I63</f>
        <v>175000</v>
      </c>
    </row>
    <row r="22" spans="2:9">
      <c r="B22" s="12" t="s">
        <v>21</v>
      </c>
      <c r="C22" s="19"/>
      <c r="D22" s="10">
        <f t="shared" ref="D22:I22" si="5">SUM(D19:D21)</f>
        <v>-340000</v>
      </c>
      <c r="E22" s="10">
        <f t="shared" si="5"/>
        <v>1500</v>
      </c>
      <c r="F22" s="10">
        <f t="shared" si="5"/>
        <v>-8639.9999999999964</v>
      </c>
      <c r="G22" s="10">
        <f t="shared" si="5"/>
        <v>-11900.250000000004</v>
      </c>
      <c r="H22" s="10">
        <f t="shared" si="5"/>
        <v>4964.2031250000036</v>
      </c>
      <c r="I22" s="10">
        <f t="shared" si="5"/>
        <v>240713.24687500001</v>
      </c>
    </row>
    <row r="23" spans="2:9">
      <c r="C23" s="19"/>
      <c r="D23" s="8"/>
      <c r="E23" s="8"/>
      <c r="F23" s="8"/>
      <c r="G23" s="8"/>
      <c r="H23" s="8"/>
      <c r="I23" s="8"/>
    </row>
    <row r="24" spans="2:9" ht="15">
      <c r="B24" s="14" t="s">
        <v>22</v>
      </c>
      <c r="C24" s="20"/>
      <c r="D24" s="11">
        <f t="shared" ref="D24:I24" si="6">D22+D17</f>
        <v>-340000</v>
      </c>
      <c r="E24" s="11">
        <f t="shared" si="6"/>
        <v>43050</v>
      </c>
      <c r="F24" s="11">
        <f t="shared" si="6"/>
        <v>53820.599999999977</v>
      </c>
      <c r="G24" s="11">
        <f t="shared" si="6"/>
        <v>64945.093499999959</v>
      </c>
      <c r="H24" s="11">
        <f t="shared" si="6"/>
        <v>60891.639356249972</v>
      </c>
      <c r="I24" s="11">
        <f t="shared" si="6"/>
        <v>271388.65183976875</v>
      </c>
    </row>
    <row r="25" spans="2:9">
      <c r="B25" s="13" t="s">
        <v>0</v>
      </c>
      <c r="C25" s="18"/>
      <c r="D25" s="31">
        <f>D24</f>
        <v>-340000</v>
      </c>
      <c r="E25" s="31">
        <f>E24/(1+C32)</f>
        <v>38097.345132743365</v>
      </c>
      <c r="F25" s="31">
        <f>F24/(1+C32)^2</f>
        <v>42149.424387187712</v>
      </c>
      <c r="G25" s="31">
        <f>G24/(1+C32)^3</f>
        <v>45010.207589315098</v>
      </c>
      <c r="H25" s="31">
        <f>H24/(1+C32)^4</f>
        <v>37345.982776286699</v>
      </c>
      <c r="I25" s="31">
        <f>I24/(1+C32)^5</f>
        <v>147298.88730352951</v>
      </c>
    </row>
    <row r="26" spans="2:9">
      <c r="C26" s="18"/>
      <c r="D26" s="8"/>
      <c r="E26" s="8"/>
      <c r="F26" s="8"/>
      <c r="G26" s="8"/>
      <c r="H26" s="8"/>
      <c r="I26" s="8"/>
    </row>
    <row r="27" spans="2:9" ht="15">
      <c r="B27" s="37" t="s">
        <v>25</v>
      </c>
      <c r="C27" s="20"/>
      <c r="D27" s="33">
        <f>D25+E25+F25+G25+H25+I25</f>
        <v>-30098.152810937638</v>
      </c>
      <c r="E27" s="8"/>
      <c r="F27" s="8"/>
      <c r="G27" s="8"/>
      <c r="H27" s="8"/>
      <c r="I27" s="8"/>
    </row>
    <row r="28" spans="2:9">
      <c r="C28" s="19"/>
      <c r="E28" s="8"/>
      <c r="F28" s="8"/>
      <c r="G28" s="8"/>
      <c r="H28" s="8"/>
      <c r="I28" s="8"/>
    </row>
    <row r="29" spans="2:9" collapsed="1">
      <c r="B29" s="1" t="s">
        <v>1</v>
      </c>
      <c r="C29" s="19"/>
      <c r="D29" s="34">
        <f>IRR(D24:I24)</f>
        <v>0.10216362832854098</v>
      </c>
      <c r="E29" s="36"/>
      <c r="F29" s="36"/>
      <c r="G29" s="36"/>
      <c r="H29" s="36"/>
      <c r="I29" s="36"/>
    </row>
    <row r="30" spans="2:9">
      <c r="C30" s="19"/>
      <c r="D30" s="3"/>
    </row>
    <row r="31" spans="2:9" ht="15">
      <c r="B31" s="4" t="s">
        <v>2</v>
      </c>
      <c r="C31" s="19"/>
    </row>
    <row r="32" spans="2:9">
      <c r="B32" s="1" t="s">
        <v>26</v>
      </c>
      <c r="C32" s="21">
        <v>0.13</v>
      </c>
    </row>
    <row r="33" spans="2:9">
      <c r="B33" s="1" t="s">
        <v>27</v>
      </c>
      <c r="C33" s="21">
        <v>0.23</v>
      </c>
    </row>
    <row r="35" spans="2:9">
      <c r="B35" s="5" t="s">
        <v>15</v>
      </c>
    </row>
    <row r="36" spans="2:9">
      <c r="B36" s="1" t="s">
        <v>28</v>
      </c>
      <c r="E36" s="22">
        <v>7500</v>
      </c>
      <c r="F36" s="22">
        <v>12000</v>
      </c>
      <c r="G36" s="22">
        <v>18000</v>
      </c>
      <c r="H36" s="22">
        <v>15000</v>
      </c>
      <c r="I36" s="22">
        <v>9000</v>
      </c>
    </row>
    <row r="37" spans="2:9">
      <c r="B37" s="1" t="s">
        <v>29</v>
      </c>
      <c r="E37" s="23">
        <v>15</v>
      </c>
      <c r="F37" s="27">
        <f>E37*1.025</f>
        <v>15.374999999999998</v>
      </c>
      <c r="G37" s="27">
        <f>E37*(1+G38)^2</f>
        <v>15.759374999999999</v>
      </c>
      <c r="H37" s="27">
        <f>E37*(1+H38)^3</f>
        <v>16.153359374999997</v>
      </c>
      <c r="I37" s="27">
        <f>E37*(1+I38)^4</f>
        <v>16.557193359374995</v>
      </c>
    </row>
    <row r="38" spans="2:9">
      <c r="B38" s="1" t="s">
        <v>30</v>
      </c>
      <c r="F38" s="24">
        <v>2.5000000000000001E-2</v>
      </c>
      <c r="G38" s="24">
        <v>2.5000000000000001E-2</v>
      </c>
      <c r="H38" s="24">
        <v>2.5000000000000001E-2</v>
      </c>
      <c r="I38" s="25">
        <v>2.5000000000000001E-2</v>
      </c>
    </row>
    <row r="40" spans="2:9">
      <c r="B40" s="1" t="s">
        <v>31</v>
      </c>
      <c r="E40" s="23">
        <v>9</v>
      </c>
      <c r="F40" s="27">
        <f>E40*(1+F41)</f>
        <v>9.81</v>
      </c>
      <c r="G40" s="27">
        <f>E40*(1+G41)^2</f>
        <v>10.692900000000002</v>
      </c>
      <c r="H40" s="27">
        <f>E40*(1+H41)^3</f>
        <v>11.655261000000001</v>
      </c>
      <c r="I40" s="27">
        <f>E40*(1+I41)^4</f>
        <v>12.704234490000003</v>
      </c>
    </row>
    <row r="41" spans="2:9">
      <c r="B41" s="1" t="s">
        <v>32</v>
      </c>
      <c r="F41" s="24">
        <v>0.09</v>
      </c>
      <c r="G41" s="25">
        <v>0.09</v>
      </c>
      <c r="H41" s="25">
        <v>0.09</v>
      </c>
      <c r="I41" s="25">
        <v>0.09</v>
      </c>
    </row>
    <row r="43" spans="2:9">
      <c r="B43" s="5" t="s">
        <v>7</v>
      </c>
    </row>
    <row r="44" spans="2:9">
      <c r="B44" s="1" t="s">
        <v>8</v>
      </c>
      <c r="D44" s="26">
        <v>150000</v>
      </c>
    </row>
    <row r="45" spans="2:9">
      <c r="D45" s="7"/>
    </row>
    <row r="46" spans="2:9">
      <c r="B46" s="1" t="s">
        <v>11</v>
      </c>
      <c r="D46" s="7"/>
      <c r="E46" s="9">
        <v>0.2</v>
      </c>
      <c r="F46" s="9">
        <v>0.32</v>
      </c>
      <c r="G46" s="9">
        <v>0.192</v>
      </c>
      <c r="H46" s="9">
        <v>0.1152</v>
      </c>
      <c r="I46" s="9">
        <v>0.1152</v>
      </c>
    </row>
    <row r="47" spans="2:9">
      <c r="B47" s="1" t="s">
        <v>10</v>
      </c>
      <c r="E47" s="28">
        <f>E46*D44</f>
        <v>30000</v>
      </c>
      <c r="F47" s="28">
        <f>D44*F46</f>
        <v>48000</v>
      </c>
      <c r="G47" s="28">
        <f>G46*D44</f>
        <v>28800</v>
      </c>
      <c r="H47" s="28">
        <f>H46*D44</f>
        <v>17280</v>
      </c>
      <c r="I47" s="28">
        <f>I46*D44</f>
        <v>17280</v>
      </c>
    </row>
    <row r="48" spans="2:9">
      <c r="B48" s="1" t="s">
        <v>12</v>
      </c>
      <c r="E48" s="28">
        <f>E47</f>
        <v>30000</v>
      </c>
      <c r="F48" s="28">
        <f>E47+F47</f>
        <v>78000</v>
      </c>
      <c r="G48" s="28">
        <f>E47+F47+G47</f>
        <v>106800</v>
      </c>
      <c r="H48" s="28">
        <f>E47+F47+G47+H47</f>
        <v>124080</v>
      </c>
      <c r="I48" s="28">
        <f>E47+F47+G47+H47+I47</f>
        <v>141360</v>
      </c>
    </row>
    <row r="49" spans="2:13">
      <c r="B49" s="1" t="s">
        <v>13</v>
      </c>
      <c r="E49" s="28">
        <f>D44-E48</f>
        <v>120000</v>
      </c>
      <c r="F49" s="28">
        <f>D44-F48</f>
        <v>72000</v>
      </c>
      <c r="G49" s="28">
        <f>D44-G48</f>
        <v>43200</v>
      </c>
      <c r="H49" s="28">
        <f>D44-H48</f>
        <v>25920</v>
      </c>
      <c r="I49" s="28">
        <f>D44-I48</f>
        <v>8640</v>
      </c>
    </row>
    <row r="51" spans="2:13">
      <c r="B51" s="1" t="s">
        <v>34</v>
      </c>
      <c r="I51" s="26">
        <v>45000</v>
      </c>
    </row>
    <row r="52" spans="2:13">
      <c r="B52" s="1" t="s">
        <v>33</v>
      </c>
      <c r="I52" s="29">
        <f>(I51-I49)*C33</f>
        <v>8362.8000000000011</v>
      </c>
    </row>
    <row r="53" spans="2:13">
      <c r="B53" s="12" t="s">
        <v>41</v>
      </c>
      <c r="I53" s="10">
        <f>I51-I52</f>
        <v>36637.199999999997</v>
      </c>
    </row>
    <row r="55" spans="2:13">
      <c r="B55" s="5" t="s">
        <v>17</v>
      </c>
    </row>
    <row r="56" spans="2:13">
      <c r="B56" s="1" t="s">
        <v>35</v>
      </c>
      <c r="D56" s="26">
        <v>15000</v>
      </c>
    </row>
    <row r="58" spans="2:13">
      <c r="B58" s="1" t="s">
        <v>36</v>
      </c>
      <c r="E58" s="35">
        <v>0.12</v>
      </c>
      <c r="F58" s="35">
        <v>0.12</v>
      </c>
      <c r="G58" s="35">
        <v>0.12</v>
      </c>
      <c r="H58" s="35">
        <v>0.12</v>
      </c>
      <c r="I58" s="35">
        <v>0.12</v>
      </c>
      <c r="J58" s="1" t="s">
        <v>48</v>
      </c>
    </row>
    <row r="59" spans="2:13">
      <c r="B59" s="1" t="s">
        <v>38</v>
      </c>
      <c r="D59" s="28">
        <f>D56</f>
        <v>15000</v>
      </c>
      <c r="E59" s="28">
        <f>E58*E9</f>
        <v>13500</v>
      </c>
      <c r="F59" s="28">
        <f t="shared" ref="F59:I59" si="7">F58*F9</f>
        <v>22139.999999999996</v>
      </c>
      <c r="G59" s="28">
        <f t="shared" si="7"/>
        <v>34040.25</v>
      </c>
      <c r="H59" s="28">
        <f t="shared" si="7"/>
        <v>29076.046874999996</v>
      </c>
      <c r="I59" s="28">
        <f t="shared" si="7"/>
        <v>17881.768828124998</v>
      </c>
      <c r="J59" s="1">
        <v>0</v>
      </c>
    </row>
    <row r="60" spans="2:13">
      <c r="B60" s="1" t="s">
        <v>37</v>
      </c>
      <c r="E60" s="28">
        <f>E59-D56</f>
        <v>-1500</v>
      </c>
      <c r="F60" s="28">
        <f>F59-E59</f>
        <v>8639.9999999999964</v>
      </c>
      <c r="G60" s="28">
        <f>G59-F59</f>
        <v>11900.250000000004</v>
      </c>
      <c r="H60" s="28">
        <f>H59-G59</f>
        <v>-4964.2031250000036</v>
      </c>
      <c r="I60" s="28">
        <f>I59-H59</f>
        <v>-11194.278046874999</v>
      </c>
      <c r="J60" s="7">
        <f>-I59</f>
        <v>-17881.768828124998</v>
      </c>
      <c r="M60" s="43"/>
    </row>
    <row r="61" spans="2:13" ht="15" customHeight="1">
      <c r="E61" s="7"/>
      <c r="F61" s="7"/>
      <c r="G61" s="7"/>
      <c r="H61" s="7"/>
      <c r="I61" s="7"/>
    </row>
    <row r="62" spans="2:13" ht="15" customHeight="1">
      <c r="B62" s="5" t="s">
        <v>6</v>
      </c>
    </row>
    <row r="63" spans="2:13">
      <c r="B63" s="1" t="s">
        <v>39</v>
      </c>
      <c r="D63" s="26">
        <v>-175000</v>
      </c>
      <c r="E63" s="30">
        <v>0</v>
      </c>
      <c r="F63" s="30">
        <v>0</v>
      </c>
      <c r="G63" s="30">
        <v>0</v>
      </c>
      <c r="H63" s="30">
        <v>0</v>
      </c>
      <c r="I63" s="30">
        <v>175000</v>
      </c>
    </row>
    <row r="65" spans="2:9">
      <c r="B65" s="5" t="s">
        <v>4</v>
      </c>
    </row>
    <row r="66" spans="2:9">
      <c r="B66" s="1" t="s">
        <v>40</v>
      </c>
      <c r="D66" s="26">
        <v>200000</v>
      </c>
    </row>
    <row r="68" spans="2:9" ht="15" thickBot="1">
      <c r="B68" s="1" t="s">
        <v>44</v>
      </c>
    </row>
    <row r="69" spans="2:9" ht="105" customHeight="1">
      <c r="B69" s="44" t="s">
        <v>49</v>
      </c>
      <c r="C69" s="45"/>
      <c r="D69" s="45"/>
      <c r="E69" s="45"/>
      <c r="F69" s="45"/>
      <c r="G69" s="45"/>
      <c r="H69" s="45"/>
      <c r="I69" s="46"/>
    </row>
    <row r="70" spans="2:9" ht="242" customHeight="1" thickBot="1">
      <c r="B70" s="47"/>
      <c r="C70" s="48"/>
      <c r="D70" s="48"/>
      <c r="E70" s="48"/>
      <c r="F70" s="48"/>
      <c r="G70" s="48"/>
      <c r="H70" s="48"/>
      <c r="I70" s="49"/>
    </row>
  </sheetData>
  <mergeCells count="3">
    <mergeCell ref="D2:F2"/>
    <mergeCell ref="B69:I70"/>
    <mergeCell ref="D3:F3"/>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2025-10-17T02:39:02Z</dcterms:modified>
</cp:coreProperties>
</file>