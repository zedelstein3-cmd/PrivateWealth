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zacharyedelstein/Downloads/"/>
    </mc:Choice>
  </mc:AlternateContent>
  <xr:revisionPtr revIDLastSave="0" documentId="8_{92CC7946-EA72-E54B-BF43-EA4F304FB0C6}" xr6:coauthVersionLast="47" xr6:coauthVersionMax="47" xr10:uidLastSave="{00000000-0000-0000-0000-000000000000}"/>
  <bookViews>
    <workbookView xWindow="4780" yWindow="760" windowWidth="23940" windowHeight="17240" activeTab="4" xr2:uid="{96D48008-2230-ED46-BFBD-B7A02E81F2B4}"/>
  </bookViews>
  <sheets>
    <sheet name="Pre-Acquisition" sheetId="1" r:id="rId1"/>
    <sheet name="Acquisition Info" sheetId="2" r:id="rId2"/>
    <sheet name="100% Equity Finance" sheetId="3" r:id="rId3"/>
    <sheet name="100% Debt Finance" sheetId="4" r:id="rId4"/>
    <sheet name="Scenerio Analysis" sheetId="5" r:id="rId5"/>
  </sheets>
  <calcPr calcId="181029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6" i="5" l="1"/>
  <c r="L6" i="5"/>
  <c r="L7" i="5"/>
  <c r="L17" i="5"/>
  <c r="H17" i="5"/>
  <c r="H6" i="5"/>
  <c r="H7" i="5" s="1"/>
  <c r="L5" i="5" s="1"/>
  <c r="H16" i="5"/>
  <c r="C17" i="4"/>
  <c r="G6" i="4"/>
  <c r="H5" i="5"/>
  <c r="H15" i="5"/>
  <c r="D16" i="5"/>
  <c r="D17" i="5" s="1"/>
  <c r="D18" i="5" s="1"/>
  <c r="H19" i="5" s="1"/>
  <c r="D6" i="5"/>
  <c r="D7" i="5" s="1"/>
  <c r="D8" i="5" s="1"/>
  <c r="C15" i="4"/>
  <c r="C13" i="4"/>
  <c r="G20" i="4"/>
  <c r="G7" i="4"/>
  <c r="G11" i="4"/>
  <c r="C5" i="4"/>
  <c r="C30" i="3"/>
  <c r="C19" i="3"/>
  <c r="G12" i="1"/>
  <c r="G13" i="1" s="1"/>
  <c r="G6" i="1" s="1"/>
  <c r="C7" i="2"/>
  <c r="C9" i="2" s="1"/>
  <c r="C22" i="2"/>
  <c r="C21" i="2"/>
  <c r="L15" i="5" l="1"/>
  <c r="C23" i="2"/>
  <c r="C14" i="4" s="1"/>
  <c r="H9" i="5"/>
  <c r="C6" i="4"/>
  <c r="G14" i="4" s="1"/>
  <c r="G15" i="4" s="1"/>
  <c r="G21" i="4"/>
  <c r="C16" i="4"/>
  <c r="G12" i="2"/>
  <c r="G11" i="2" s="1"/>
  <c r="C10" i="2"/>
  <c r="C18" i="4" l="1"/>
  <c r="G8" i="4"/>
  <c r="C19" i="4" s="1"/>
  <c r="C29" i="3"/>
  <c r="C31" i="3" s="1"/>
  <c r="C13" i="3"/>
  <c r="C14" i="3" s="1"/>
  <c r="C37" i="3"/>
  <c r="C38" i="3" s="1"/>
  <c r="C6" i="3" l="1"/>
  <c r="C20" i="3"/>
  <c r="C21" i="3" s="1"/>
  <c r="C7" i="3"/>
  <c r="G13" i="3" l="1"/>
  <c r="G14" i="3" s="1"/>
  <c r="G6" i="3" s="1"/>
  <c r="G7" i="3" s="1"/>
  <c r="G19" i="3"/>
  <c r="G20" i="3" s="1"/>
  <c r="C43" i="3"/>
  <c r="C44" i="3" s="1"/>
</calcChain>
</file>

<file path=xl/sharedStrings.xml><?xml version="1.0" encoding="utf-8"?>
<sst xmlns="http://schemas.openxmlformats.org/spreadsheetml/2006/main" count="263" uniqueCount="137">
  <si>
    <t>Capital Structure</t>
  </si>
  <si>
    <t>Equity</t>
  </si>
  <si>
    <t>Debt</t>
  </si>
  <si>
    <t>Presario Ventures (Pre-Acquisition)</t>
  </si>
  <si>
    <t>Firm Information</t>
  </si>
  <si>
    <t>Common Stock Outstandng</t>
  </si>
  <si>
    <t>Market Price of Stock</t>
  </si>
  <si>
    <t>Corporate Tax Rate (State+Fed)</t>
  </si>
  <si>
    <t>Cost of Capital (Unlevered)</t>
  </si>
  <si>
    <t>Aquisitoin Price</t>
  </si>
  <si>
    <t>Cash Flow Duratoin</t>
  </si>
  <si>
    <t>Given Information</t>
  </si>
  <si>
    <t>PV of Perpetuity</t>
  </si>
  <si>
    <t>Pre-Tax Cash Flows  (Annual)</t>
  </si>
  <si>
    <t>After-Tax Cash Flows (Annual)</t>
  </si>
  <si>
    <t>NPV of Acquisition</t>
  </si>
  <si>
    <t xml:space="preserve">Given Info 
or Equatoin  </t>
  </si>
  <si>
    <t xml:space="preserve">Given  </t>
  </si>
  <si>
    <t>Pretax*(1-Tax)</t>
  </si>
  <si>
    <t>After-Tax/Rate</t>
  </si>
  <si>
    <t>PV - Price</t>
  </si>
  <si>
    <t>Perpituity</t>
  </si>
  <si>
    <t>Comparable Bond Price</t>
  </si>
  <si>
    <t>Given</t>
  </si>
  <si>
    <t>Par Value</t>
  </si>
  <si>
    <t>Coupon Rate</t>
  </si>
  <si>
    <t>Coupon Frequency</t>
  </si>
  <si>
    <t>Semiannual</t>
  </si>
  <si>
    <t>Original Maturity</t>
  </si>
  <si>
    <t>Years Remaining</t>
  </si>
  <si>
    <t>Periods Remaining</t>
  </si>
  <si>
    <t>Coupon PMT</t>
  </si>
  <si>
    <t>Yield to Maturity</t>
  </si>
  <si>
    <t>(par*cr)/2</t>
  </si>
  <si>
    <t>PMT Frequency</t>
  </si>
  <si>
    <t>Comparable Debt Information</t>
  </si>
  <si>
    <t>yrs remaining  * 2</t>
  </si>
  <si>
    <t>RATE function * 2</t>
  </si>
  <si>
    <t>Target Capital Structure</t>
  </si>
  <si>
    <t>Target Equity %</t>
  </si>
  <si>
    <t>Target Debt %</t>
  </si>
  <si>
    <t>Equity %</t>
  </si>
  <si>
    <t>Debt %</t>
  </si>
  <si>
    <t xml:space="preserve">Given </t>
  </si>
  <si>
    <t xml:space="preserve"> Given   </t>
  </si>
  <si>
    <t>(Pre-Acquisition) Balance Sheet</t>
  </si>
  <si>
    <t>Assets</t>
  </si>
  <si>
    <t>Liabilities</t>
  </si>
  <si>
    <t>Operating Assets</t>
  </si>
  <si>
    <t>Total Assets</t>
  </si>
  <si>
    <t>=</t>
  </si>
  <si>
    <t>+</t>
  </si>
  <si>
    <t>Common Stock</t>
  </si>
  <si>
    <t>Total Equity</t>
  </si>
  <si>
    <t>Total Debt</t>
  </si>
  <si>
    <t>Equation</t>
  </si>
  <si>
    <t>Liabilities + Equity</t>
  </si>
  <si>
    <t>No Use of Debt</t>
  </si>
  <si>
    <t xml:space="preserve"> Shares Outstanding * Price</t>
  </si>
  <si>
    <t>Aquisitoin Information + Valuation</t>
  </si>
  <si>
    <t>QUESTION # 2</t>
  </si>
  <si>
    <t>Capital Structure If 100% Debt Financed</t>
  </si>
  <si>
    <t>QUESTION # 1</t>
  </si>
  <si>
    <t>1-debt</t>
  </si>
  <si>
    <t>price/(equity + price)</t>
  </si>
  <si>
    <t>QUESTION # 3b</t>
  </si>
  <si>
    <t>QUESTION # 3a</t>
  </si>
  <si>
    <t>100% Equity Balance Sheet (Post Acquisition)</t>
  </si>
  <si>
    <t xml:space="preserve"> Old Equity + Acquisition NPV</t>
  </si>
  <si>
    <t>Number of Shares Outstanding</t>
  </si>
  <si>
    <t>New Price Per Share</t>
  </si>
  <si>
    <t>100% Equity Finance Stock (Post Announcement)</t>
  </si>
  <si>
    <t>Same Because its Pre Issuance</t>
  </si>
  <si>
    <t>New Equity/# of Shares</t>
  </si>
  <si>
    <t>100% Equity Balance Sheet (Post Announcement)</t>
  </si>
  <si>
    <t>QUESTION # 3c</t>
  </si>
  <si>
    <t>100% Equity Balance Sheet (Post Issuance)</t>
  </si>
  <si>
    <t>100% Equity Finance Stock (Post Issuance)</t>
  </si>
  <si>
    <t>Roundup Functoin
Acquisition Cost/New Share Price</t>
  </si>
  <si>
    <t>New Shares Required for Equity Finance</t>
  </si>
  <si>
    <t xml:space="preserve"> Old Equity + (New Shares * Share Price)</t>
  </si>
  <si>
    <t>New Equity/New# of Shares</t>
  </si>
  <si>
    <t>Old Shares + Newly Issued</t>
  </si>
  <si>
    <t>QUESTION # 3d</t>
  </si>
  <si>
    <t xml:space="preserve"> Old Equity + Acquisition Cost +NPV </t>
  </si>
  <si>
    <t>Acquisition Cost</t>
  </si>
  <si>
    <t>Real Estate</t>
  </si>
  <si>
    <t>Tax Shield</t>
  </si>
  <si>
    <t>Firm MV</t>
  </si>
  <si>
    <t>Tax * Debt</t>
  </si>
  <si>
    <t>Old MV + PV of Perpituity + tax Shield</t>
  </si>
  <si>
    <t>QUESTION # 4b</t>
  </si>
  <si>
    <t>QUESTION # 4a</t>
  </si>
  <si>
    <t>100% Equity Finance Stock (Post Acquisition)</t>
  </si>
  <si>
    <t>MV of Firm with 100% Debt Finance (Post Acquisition)</t>
  </si>
  <si>
    <t>100% Debt Finance Stock (Post Acquisition)</t>
  </si>
  <si>
    <t>100% Debt  Balance Sheet (Post Acquisition)</t>
  </si>
  <si>
    <t>Rd</t>
  </si>
  <si>
    <t>D</t>
  </si>
  <si>
    <t>E</t>
  </si>
  <si>
    <t>Ru</t>
  </si>
  <si>
    <t>Ru + (Ru - Rd) * (D / E)</t>
  </si>
  <si>
    <t>Unlevered cost of capital </t>
  </si>
  <si>
    <t>Cost of debt</t>
  </si>
  <si>
    <t>Acquisition Price</t>
  </si>
  <si>
    <t>Old Shares</t>
  </si>
  <si>
    <t>Firm MV - Acquisition Price</t>
  </si>
  <si>
    <t xml:space="preserve"> Equity</t>
  </si>
  <si>
    <t>QUESTION # 4c</t>
  </si>
  <si>
    <t>after tax CF</t>
  </si>
  <si>
    <t> PV of Perpetuity</t>
  </si>
  <si>
    <t>NPV</t>
  </si>
  <si>
    <t>New Firm Value</t>
  </si>
  <si>
    <t>QUESTION # 6 2</t>
  </si>
  <si>
    <t>QUESTION # 6 1</t>
  </si>
  <si>
    <t>100% Equity Scenario 2</t>
  </si>
  <si>
    <t>100% Equity Scenario 1</t>
  </si>
  <si>
    <t>Pre-Tax CF</t>
  </si>
  <si>
    <t>After tax CF</t>
  </si>
  <si>
    <t>Beg firm value + NPV</t>
  </si>
  <si>
    <t>Shares Post Announcement</t>
  </si>
  <si>
    <t>Shares Post Acquisition</t>
  </si>
  <si>
    <t>Shares Outsanding</t>
  </si>
  <si>
    <t xml:space="preserve"> Share Price</t>
  </si>
  <si>
    <t>New Shares Required</t>
  </si>
  <si>
    <t>Old Shares+Newly Issued</t>
  </si>
  <si>
    <t>New Firm Value/New Shares</t>
  </si>
  <si>
    <t>Roundup Functoin
Acquisition Cost/Share Price</t>
  </si>
  <si>
    <t>V</t>
  </si>
  <si>
    <t>Total Firm Value</t>
  </si>
  <si>
    <t>Pre-Tax * (1- .25)</t>
  </si>
  <si>
    <t>PV - Aqcuisition cost</t>
  </si>
  <si>
    <t>WACC</t>
  </si>
  <si>
    <t>(E/V)*Re + (D/V)*Rd*(1-T)</t>
  </si>
  <si>
    <t>New Cost of Equity (Re)</t>
  </si>
  <si>
    <t>WACC and Cost of Equity</t>
  </si>
  <si>
    <t>Prev firm value + Acquisition 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</si>
</sst>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_);[Red]\(&quot;$&quot;#,##0\)"/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</numFmts>
  <fonts count="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20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6"/>
      <color theme="1"/>
      <name val="Aptos Narrow"/>
      <scheme val="minor"/>
    </font>
    <font>
      <sz val="12"/>
      <color theme="1"/>
      <name val="Aptos Narrow"/>
      <scheme val="minor"/>
    </font>
    <font>
      <sz val="14"/>
      <color theme="1"/>
      <name val="Aptos Narrow"/>
      <scheme val="minor"/>
    </font>
  </fonts>
  <fills count="7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79998168889431442"/>
        <bgColor indexed="64"/>
      </patternFill>
    </fill>
  </fills>
  <borders count="4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69">
    <xf numFmtId="0" fontId="0" fillId="0" borderId="0" xfId="0"/>
    <xf numFmtId="0" fontId="2" fillId="0" borderId="0" xfId="0" applyFont="1" applyAlignment="1">
      <alignment vertical="center"/>
    </xf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2" borderId="19" xfId="0" applyFill="1" applyBorder="1" applyAlignment="1">
      <alignment horizontal="center" vertical="center"/>
    </xf>
    <xf numFmtId="0" fontId="0" fillId="2" borderId="20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10" fontId="0" fillId="0" borderId="8" xfId="0" applyNumberFormat="1" applyBorder="1" applyAlignment="1">
      <alignment horizontal="center" vertical="center"/>
    </xf>
    <xf numFmtId="10" fontId="0" fillId="0" borderId="13" xfId="3" applyNumberFormat="1" applyFont="1" applyBorder="1" applyAlignment="1">
      <alignment horizontal="center" vertical="center"/>
    </xf>
    <xf numFmtId="44" fontId="0" fillId="0" borderId="33" xfId="2" applyFont="1" applyBorder="1" applyAlignment="1">
      <alignment horizontal="center" vertical="center"/>
    </xf>
    <xf numFmtId="44" fontId="0" fillId="0" borderId="34" xfId="2" applyFont="1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44" fontId="0" fillId="0" borderId="17" xfId="2" applyFont="1" applyBorder="1" applyAlignment="1">
      <alignment horizontal="center" vertical="center"/>
    </xf>
    <xf numFmtId="10" fontId="0" fillId="0" borderId="33" xfId="0" applyNumberFormat="1" applyBorder="1" applyAlignment="1">
      <alignment horizontal="center" vertical="center"/>
    </xf>
    <xf numFmtId="10" fontId="0" fillId="0" borderId="17" xfId="3" applyNumberFormat="1" applyFont="1" applyBorder="1" applyAlignment="1">
      <alignment horizontal="center" vertical="center"/>
    </xf>
    <xf numFmtId="8" fontId="0" fillId="0" borderId="33" xfId="0" applyNumberFormat="1" applyBorder="1" applyAlignment="1">
      <alignment horizontal="center" vertical="center"/>
    </xf>
    <xf numFmtId="6" fontId="0" fillId="0" borderId="34" xfId="0" applyNumberFormat="1" applyBorder="1" applyAlignment="1">
      <alignment horizontal="center" vertical="center"/>
    </xf>
    <xf numFmtId="10" fontId="0" fillId="0" borderId="34" xfId="0" applyNumberFormat="1" applyBorder="1" applyAlignment="1">
      <alignment horizontal="center" vertical="center"/>
    </xf>
    <xf numFmtId="8" fontId="0" fillId="0" borderId="34" xfId="0" applyNumberFormat="1" applyBorder="1" applyAlignment="1">
      <alignment horizontal="center" vertical="center"/>
    </xf>
    <xf numFmtId="10" fontId="0" fillId="0" borderId="17" xfId="0" applyNumberForma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10" fontId="0" fillId="0" borderId="33" xfId="3" applyNumberFormat="1" applyFont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43" fontId="0" fillId="0" borderId="33" xfId="1" applyFont="1" applyBorder="1" applyAlignment="1">
      <alignment horizontal="center" vertical="center"/>
    </xf>
    <xf numFmtId="10" fontId="0" fillId="0" borderId="34" xfId="3" applyNumberFormat="1" applyFont="1" applyBorder="1" applyAlignment="1">
      <alignment horizontal="center" vertical="center"/>
    </xf>
    <xf numFmtId="44" fontId="0" fillId="0" borderId="34" xfId="2" applyFont="1" applyBorder="1" applyAlignment="1">
      <alignment horizontal="right"/>
    </xf>
    <xf numFmtId="0" fontId="7" fillId="0" borderId="37" xfId="0" applyFont="1" applyBorder="1" applyAlignment="1">
      <alignment horizontal="center" vertical="center"/>
    </xf>
    <xf numFmtId="0" fontId="7" fillId="0" borderId="39" xfId="0" applyFont="1" applyBorder="1" applyAlignment="1">
      <alignment horizontal="center" vertical="center"/>
    </xf>
    <xf numFmtId="0" fontId="7" fillId="2" borderId="40" xfId="0" applyFont="1" applyFill="1" applyBorder="1" applyAlignment="1">
      <alignment horizontal="center" vertical="center"/>
    </xf>
    <xf numFmtId="0" fontId="7" fillId="2" borderId="41" xfId="0" applyFont="1" applyFill="1" applyBorder="1" applyAlignment="1">
      <alignment horizontal="center" vertical="center"/>
    </xf>
    <xf numFmtId="0" fontId="7" fillId="2" borderId="35" xfId="0" applyFont="1" applyFill="1" applyBorder="1" applyAlignment="1">
      <alignment horizontal="center" vertical="center"/>
    </xf>
    <xf numFmtId="0" fontId="7" fillId="2" borderId="31" xfId="0" applyFont="1" applyFill="1" applyBorder="1" applyAlignment="1">
      <alignment horizontal="center" vertical="center"/>
    </xf>
    <xf numFmtId="0" fontId="7" fillId="2" borderId="32" xfId="0" applyFont="1" applyFill="1" applyBorder="1" applyAlignment="1">
      <alignment horizontal="center" vertical="center"/>
    </xf>
    <xf numFmtId="44" fontId="7" fillId="0" borderId="43" xfId="2" applyFont="1" applyBorder="1" applyAlignment="1">
      <alignment horizontal="center" vertical="center"/>
    </xf>
    <xf numFmtId="44" fontId="7" fillId="0" borderId="43" xfId="0" applyNumberFormat="1" applyFont="1" applyBorder="1" applyAlignment="1">
      <alignment horizontal="center" vertical="center"/>
    </xf>
    <xf numFmtId="44" fontId="7" fillId="0" borderId="17" xfId="2" applyFont="1" applyBorder="1" applyAlignment="1">
      <alignment horizontal="center" vertical="center"/>
    </xf>
    <xf numFmtId="44" fontId="7" fillId="0" borderId="33" xfId="2" applyFont="1" applyBorder="1" applyAlignment="1">
      <alignment horizontal="center" vertical="center"/>
    </xf>
    <xf numFmtId="0" fontId="0" fillId="0" borderId="44" xfId="0" applyBorder="1" applyAlignment="1">
      <alignment horizontal="center"/>
    </xf>
    <xf numFmtId="0" fontId="5" fillId="0" borderId="12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44" xfId="0" applyFont="1" applyBorder="1" applyAlignment="1">
      <alignment horizontal="center" vertical="center"/>
    </xf>
    <xf numFmtId="0" fontId="7" fillId="0" borderId="20" xfId="0" applyFont="1" applyBorder="1" applyAlignment="1">
      <alignment horizontal="center" vertical="center"/>
    </xf>
    <xf numFmtId="10" fontId="0" fillId="0" borderId="38" xfId="3" applyNumberFormat="1" applyFont="1" applyBorder="1" applyAlignment="1">
      <alignment horizontal="center" vertical="center"/>
    </xf>
    <xf numFmtId="0" fontId="7" fillId="2" borderId="25" xfId="0" applyFont="1" applyFill="1" applyBorder="1" applyAlignment="1">
      <alignment horizontal="center" vertical="center"/>
    </xf>
    <xf numFmtId="0" fontId="7" fillId="2" borderId="30" xfId="0" applyFont="1" applyFill="1" applyBorder="1" applyAlignment="1">
      <alignment horizontal="center" vertical="center"/>
    </xf>
    <xf numFmtId="44" fontId="7" fillId="0" borderId="22" xfId="2" applyFont="1" applyBorder="1" applyAlignment="1">
      <alignment horizontal="center" vertical="center"/>
    </xf>
    <xf numFmtId="44" fontId="7" fillId="0" borderId="14" xfId="2" applyFont="1" applyBorder="1" applyAlignment="1">
      <alignment horizontal="center" vertical="center"/>
    </xf>
    <xf numFmtId="43" fontId="0" fillId="0" borderId="38" xfId="0" applyNumberFormat="1" applyBorder="1"/>
    <xf numFmtId="44" fontId="0" fillId="0" borderId="34" xfId="2" applyFont="1" applyBorder="1"/>
    <xf numFmtId="43" fontId="0" fillId="0" borderId="34" xfId="1" applyFont="1" applyBorder="1" applyAlignment="1">
      <alignment horizontal="center" vertical="center"/>
    </xf>
    <xf numFmtId="43" fontId="0" fillId="0" borderId="17" xfId="1" applyFont="1" applyBorder="1" applyAlignment="1">
      <alignment horizontal="center" vertical="center"/>
    </xf>
    <xf numFmtId="44" fontId="0" fillId="0" borderId="17" xfId="2" applyFont="1" applyBorder="1"/>
    <xf numFmtId="0" fontId="7" fillId="2" borderId="27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vertical="center"/>
    </xf>
    <xf numFmtId="0" fontId="7" fillId="2" borderId="47" xfId="0" applyFont="1" applyFill="1" applyBorder="1" applyAlignment="1">
      <alignment horizontal="center" vertical="center"/>
    </xf>
    <xf numFmtId="0" fontId="7" fillId="2" borderId="36" xfId="0" applyFont="1" applyFill="1" applyBorder="1" applyAlignment="1">
      <alignment horizontal="center" vertical="center"/>
    </xf>
    <xf numFmtId="0" fontId="7" fillId="2" borderId="29" xfId="0" applyFont="1" applyFill="1" applyBorder="1" applyAlignment="1">
      <alignment horizontal="center" vertical="center"/>
    </xf>
    <xf numFmtId="44" fontId="7" fillId="0" borderId="24" xfId="0" applyNumberFormat="1" applyFont="1" applyBorder="1" applyAlignment="1">
      <alignment horizontal="center" vertical="center"/>
    </xf>
    <xf numFmtId="44" fontId="7" fillId="0" borderId="14" xfId="0" applyNumberFormat="1" applyFont="1" applyBorder="1" applyAlignment="1">
      <alignment horizontal="center" vertical="center"/>
    </xf>
    <xf numFmtId="44" fontId="7" fillId="0" borderId="22" xfId="0" applyNumberFormat="1" applyFont="1" applyBorder="1" applyAlignment="1">
      <alignment horizontal="center" vertical="center"/>
    </xf>
    <xf numFmtId="44" fontId="7" fillId="0" borderId="48" xfId="2" applyFont="1" applyBorder="1" applyAlignment="1">
      <alignment horizontal="center" vertical="center"/>
    </xf>
    <xf numFmtId="44" fontId="7" fillId="0" borderId="33" xfId="0" applyNumberFormat="1" applyFont="1" applyBorder="1" applyAlignment="1">
      <alignment horizontal="center" vertical="center"/>
    </xf>
    <xf numFmtId="44" fontId="7" fillId="0" borderId="17" xfId="0" applyNumberFormat="1" applyFont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44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44" fontId="0" fillId="0" borderId="38" xfId="0" applyNumberFormat="1" applyBorder="1" applyAlignment="1">
      <alignment horizontal="center" vertical="center"/>
    </xf>
    <xf numFmtId="44" fontId="0" fillId="0" borderId="17" xfId="0" applyNumberFormat="1" applyBorder="1" applyAlignment="1">
      <alignment horizontal="center" vertical="center"/>
    </xf>
    <xf numFmtId="44" fontId="0" fillId="0" borderId="0" xfId="0" applyNumberFormat="1" applyAlignment="1">
      <alignment horizontal="center" vertical="center"/>
    </xf>
    <xf numFmtId="43" fontId="0" fillId="0" borderId="38" xfId="0" applyNumberFormat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6" fillId="3" borderId="5" xfId="0" applyFont="1" applyFill="1" applyBorder="1" applyAlignment="1">
      <alignment horizontal="center" vertical="center"/>
    </xf>
    <xf numFmtId="0" fontId="6" fillId="3" borderId="6" xfId="0" applyFont="1" applyFill="1" applyBorder="1" applyAlignment="1">
      <alignment horizontal="center" vertical="center"/>
    </xf>
    <xf numFmtId="0" fontId="7" fillId="4" borderId="26" xfId="0" applyFont="1" applyFill="1" applyBorder="1" applyAlignment="1">
      <alignment horizontal="center" vertical="center"/>
    </xf>
    <xf numFmtId="0" fontId="7" fillId="4" borderId="28" xfId="0" applyFont="1" applyFill="1" applyBorder="1" applyAlignment="1">
      <alignment horizontal="center" vertical="center"/>
    </xf>
    <xf numFmtId="0" fontId="7" fillId="4" borderId="27" xfId="0" applyFont="1" applyFill="1" applyBorder="1" applyAlignment="1">
      <alignment horizontal="center" vertical="center"/>
    </xf>
    <xf numFmtId="0" fontId="7" fillId="4" borderId="31" xfId="0" applyFont="1" applyFill="1" applyBorder="1" applyAlignment="1">
      <alignment horizontal="center" vertical="center"/>
    </xf>
    <xf numFmtId="0" fontId="7" fillId="4" borderId="40" xfId="0" applyFont="1" applyFill="1" applyBorder="1" applyAlignment="1">
      <alignment horizontal="center" vertical="center"/>
    </xf>
    <xf numFmtId="0" fontId="7" fillId="4" borderId="32" xfId="0" applyFont="1" applyFill="1" applyBorder="1" applyAlignment="1">
      <alignment horizontal="center" vertical="center"/>
    </xf>
    <xf numFmtId="0" fontId="7" fillId="4" borderId="36" xfId="0" applyFont="1" applyFill="1" applyBorder="1" applyAlignment="1">
      <alignment horizontal="center" vertical="center"/>
    </xf>
    <xf numFmtId="0" fontId="7" fillId="4" borderId="30" xfId="0" applyFont="1" applyFill="1" applyBorder="1" applyAlignment="1">
      <alignment horizontal="center" vertical="center"/>
    </xf>
    <xf numFmtId="0" fontId="7" fillId="4" borderId="40" xfId="0" applyFont="1" applyFill="1" applyBorder="1" applyAlignment="1">
      <alignment horizontal="center" vertical="center"/>
    </xf>
    <xf numFmtId="0" fontId="0" fillId="4" borderId="31" xfId="0" applyFill="1" applyBorder="1"/>
    <xf numFmtId="0" fontId="0" fillId="4" borderId="32" xfId="0" applyFill="1" applyBorder="1"/>
    <xf numFmtId="0" fontId="7" fillId="4" borderId="47" xfId="0" applyFont="1" applyFill="1" applyBorder="1" applyAlignment="1">
      <alignment horizontal="center" vertical="center"/>
    </xf>
    <xf numFmtId="0" fontId="0" fillId="4" borderId="35" xfId="0" applyFill="1" applyBorder="1"/>
    <xf numFmtId="0" fontId="0" fillId="4" borderId="35" xfId="0" applyFill="1" applyBorder="1" applyAlignment="1">
      <alignment horizontal="center" wrapText="1"/>
    </xf>
    <xf numFmtId="0" fontId="0" fillId="4" borderId="32" xfId="0" applyFill="1" applyBorder="1" applyAlignment="1">
      <alignment horizontal="center"/>
    </xf>
    <xf numFmtId="0" fontId="0" fillId="4" borderId="31" xfId="0" applyFill="1" applyBorder="1" applyAlignment="1">
      <alignment horizontal="center" vertical="center" wrapText="1"/>
    </xf>
    <xf numFmtId="0" fontId="0" fillId="4" borderId="32" xfId="0" applyFill="1" applyBorder="1" applyAlignment="1">
      <alignment horizontal="center" vertical="center"/>
    </xf>
    <xf numFmtId="0" fontId="0" fillId="4" borderId="31" xfId="0" applyFill="1" applyBorder="1" applyAlignment="1">
      <alignment horizontal="center" vertical="center"/>
    </xf>
    <xf numFmtId="0" fontId="0" fillId="4" borderId="35" xfId="0" applyFill="1" applyBorder="1" applyAlignment="1">
      <alignment horizontal="center" vertical="center"/>
    </xf>
    <xf numFmtId="0" fontId="0" fillId="4" borderId="32" xfId="0" applyFill="1" applyBorder="1" applyAlignment="1">
      <alignment horizontal="center" vertical="center"/>
    </xf>
    <xf numFmtId="0" fontId="4" fillId="4" borderId="26" xfId="0" applyFont="1" applyFill="1" applyBorder="1" applyAlignment="1">
      <alignment horizontal="center" vertical="center" textRotation="180"/>
    </xf>
    <xf numFmtId="0" fontId="4" fillId="4" borderId="27" xfId="0" applyFont="1" applyFill="1" applyBorder="1" applyAlignment="1">
      <alignment horizontal="center" vertical="center" textRotation="180"/>
    </xf>
    <xf numFmtId="0" fontId="4" fillId="4" borderId="28" xfId="0" applyFont="1" applyFill="1" applyBorder="1" applyAlignment="1">
      <alignment horizontal="center" vertical="center" textRotation="180"/>
    </xf>
    <xf numFmtId="0" fontId="7" fillId="4" borderId="35" xfId="0" applyFont="1" applyFill="1" applyBorder="1" applyAlignment="1">
      <alignment horizontal="center" vertical="center"/>
    </xf>
    <xf numFmtId="0" fontId="7" fillId="4" borderId="4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6" fillId="3" borderId="9" xfId="0" applyFont="1" applyFill="1" applyBorder="1" applyAlignment="1">
      <alignment horizontal="center" vertical="center"/>
    </xf>
    <xf numFmtId="0" fontId="6" fillId="3" borderId="38" xfId="0" applyFont="1" applyFill="1" applyBorder="1" applyAlignment="1">
      <alignment horizontal="center" vertical="center"/>
    </xf>
    <xf numFmtId="0" fontId="6" fillId="3" borderId="12" xfId="0" applyFont="1" applyFill="1" applyBorder="1" applyAlignment="1">
      <alignment horizontal="center" vertical="center"/>
    </xf>
    <xf numFmtId="0" fontId="6" fillId="3" borderId="17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0" fontId="6" fillId="3" borderId="7" xfId="0" applyFont="1" applyFill="1" applyBorder="1" applyAlignment="1">
      <alignment horizontal="center" vertical="center"/>
    </xf>
    <xf numFmtId="0" fontId="6" fillId="3" borderId="45" xfId="0" applyFont="1" applyFill="1" applyBorder="1" applyAlignment="1">
      <alignment horizontal="center" vertical="center"/>
    </xf>
    <xf numFmtId="0" fontId="6" fillId="3" borderId="46" xfId="0" applyFont="1" applyFill="1" applyBorder="1" applyAlignment="1">
      <alignment horizontal="center" vertical="center"/>
    </xf>
    <xf numFmtId="0" fontId="6" fillId="3" borderId="4" xfId="0" applyFont="1" applyFill="1" applyBorder="1" applyAlignment="1">
      <alignment horizontal="center" vertical="center"/>
    </xf>
    <xf numFmtId="0" fontId="6" fillId="3" borderId="0" xfId="0" applyFont="1" applyFill="1" applyBorder="1" applyAlignment="1">
      <alignment horizontal="center" vertical="center"/>
    </xf>
    <xf numFmtId="0" fontId="0" fillId="4" borderId="41" xfId="0" applyFill="1" applyBorder="1" applyAlignment="1">
      <alignment horizontal="center" vertical="center"/>
    </xf>
    <xf numFmtId="44" fontId="0" fillId="0" borderId="34" xfId="0" applyNumberFormat="1" applyBorder="1" applyAlignment="1">
      <alignment horizontal="center" vertical="center"/>
    </xf>
    <xf numFmtId="0" fontId="0" fillId="4" borderId="35" xfId="0" applyFill="1" applyBorder="1" applyAlignment="1">
      <alignment horizontal="center" vertical="center" wrapText="1"/>
    </xf>
    <xf numFmtId="43" fontId="0" fillId="0" borderId="33" xfId="0" applyNumberFormat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43" fontId="0" fillId="0" borderId="34" xfId="0" applyNumberFormat="1" applyBorder="1" applyAlignment="1">
      <alignment horizontal="center" vertical="center"/>
    </xf>
    <xf numFmtId="0" fontId="0" fillId="4" borderId="35" xfId="0" applyFill="1" applyBorder="1" applyAlignment="1">
      <alignment horizontal="center" vertical="center"/>
    </xf>
    <xf numFmtId="44" fontId="0" fillId="0" borderId="46" xfId="2" applyFont="1" applyBorder="1" applyAlignment="1">
      <alignment horizontal="center" vertical="center"/>
    </xf>
    <xf numFmtId="0" fontId="0" fillId="4" borderId="40" xfId="0" applyFill="1" applyBorder="1" applyAlignment="1">
      <alignment horizontal="center" vertical="center"/>
    </xf>
    <xf numFmtId="0" fontId="0" fillId="2" borderId="44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44" fontId="0" fillId="0" borderId="8" xfId="0" applyNumberFormat="1" applyBorder="1" applyAlignment="1">
      <alignment horizontal="center" vertical="center"/>
    </xf>
    <xf numFmtId="10" fontId="0" fillId="0" borderId="10" xfId="0" applyNumberFormat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0" fontId="2" fillId="3" borderId="12" xfId="0" applyFont="1" applyFill="1" applyBorder="1" applyAlignment="1">
      <alignment horizontal="center" vertical="center"/>
    </xf>
    <xf numFmtId="0" fontId="2" fillId="3" borderId="14" xfId="0" applyFont="1" applyFill="1" applyBorder="1" applyAlignment="1">
      <alignment horizontal="center" vertical="center"/>
    </xf>
    <xf numFmtId="0" fontId="5" fillId="0" borderId="21" xfId="0" applyFont="1" applyBorder="1" applyAlignment="1">
      <alignment horizontal="center" vertical="center"/>
    </xf>
    <xf numFmtId="0" fontId="5" fillId="0" borderId="23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21" xfId="0" applyFont="1" applyFill="1" applyBorder="1" applyAlignment="1">
      <alignment horizontal="center" vertical="center"/>
    </xf>
    <xf numFmtId="0" fontId="5" fillId="0" borderId="23" xfId="0" applyFont="1" applyFill="1" applyBorder="1" applyAlignment="1">
      <alignment horizontal="center" vertical="center"/>
    </xf>
    <xf numFmtId="0" fontId="5" fillId="0" borderId="12" xfId="0" applyFont="1" applyFill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7" fillId="6" borderId="15" xfId="0" applyFont="1" applyFill="1" applyBorder="1" applyAlignment="1">
      <alignment horizontal="center" vertical="center"/>
    </xf>
    <xf numFmtId="0" fontId="7" fillId="6" borderId="16" xfId="0" applyFont="1" applyFill="1" applyBorder="1" applyAlignment="1">
      <alignment horizontal="center" vertical="center"/>
    </xf>
    <xf numFmtId="0" fontId="3" fillId="6" borderId="15" xfId="0" applyFont="1" applyFill="1" applyBorder="1" applyAlignment="1">
      <alignment horizontal="center" vertical="center"/>
    </xf>
    <xf numFmtId="0" fontId="3" fillId="6" borderId="18" xfId="0" applyFont="1" applyFill="1" applyBorder="1" applyAlignment="1">
      <alignment horizontal="center" vertical="center"/>
    </xf>
    <xf numFmtId="0" fontId="8" fillId="6" borderId="15" xfId="0" applyFont="1" applyFill="1" applyBorder="1" applyAlignment="1">
      <alignment horizontal="center" vertical="center"/>
    </xf>
    <xf numFmtId="0" fontId="8" fillId="6" borderId="18" xfId="0" applyFont="1" applyFill="1" applyBorder="1" applyAlignment="1">
      <alignment horizontal="center" vertical="center"/>
    </xf>
    <xf numFmtId="0" fontId="5" fillId="0" borderId="42" xfId="0" applyFont="1" applyBorder="1" applyAlignment="1">
      <alignment horizontal="center" vertical="center"/>
    </xf>
    <xf numFmtId="0" fontId="7" fillId="6" borderId="19" xfId="0" applyFont="1" applyFill="1" applyBorder="1" applyAlignment="1">
      <alignment horizontal="center" vertical="center"/>
    </xf>
    <xf numFmtId="0" fontId="8" fillId="6" borderId="19" xfId="0" applyFont="1" applyFill="1" applyBorder="1" applyAlignment="1">
      <alignment horizontal="center" vertical="center"/>
    </xf>
    <xf numFmtId="0" fontId="8" fillId="6" borderId="20" xfId="0" applyFont="1" applyFill="1" applyBorder="1" applyAlignment="1">
      <alignment horizontal="center" vertical="center"/>
    </xf>
    <xf numFmtId="0" fontId="8" fillId="6" borderId="16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16" xfId="0" applyFont="1" applyBorder="1" applyAlignment="1">
      <alignment horizontal="center" vertical="center"/>
    </xf>
    <xf numFmtId="0" fontId="5" fillId="0" borderId="9" xfId="0" applyFont="1" applyBorder="1"/>
    <xf numFmtId="0" fontId="5" fillId="0" borderId="12" xfId="0" applyFont="1" applyBorder="1"/>
    <xf numFmtId="0" fontId="5" fillId="0" borderId="23" xfId="0" applyFont="1" applyBorder="1"/>
    <xf numFmtId="0" fontId="5" fillId="0" borderId="23" xfId="0" applyFont="1" applyBorder="1" applyAlignment="1">
      <alignment horizontal="center" vertical="center"/>
    </xf>
    <xf numFmtId="0" fontId="8" fillId="6" borderId="44" xfId="0" applyFont="1" applyFill="1" applyBorder="1" applyAlignment="1">
      <alignment horizontal="center" vertical="center"/>
    </xf>
    <xf numFmtId="0" fontId="7" fillId="6" borderId="44" xfId="0" applyFont="1" applyFill="1" applyBorder="1" applyAlignment="1">
      <alignment horizontal="center" vertical="center"/>
    </xf>
    <xf numFmtId="0" fontId="5" fillId="0" borderId="45" xfId="0" applyFont="1" applyBorder="1" applyAlignment="1">
      <alignment horizontal="center" vertical="center"/>
    </xf>
    <xf numFmtId="0" fontId="6" fillId="5" borderId="9" xfId="0" applyFont="1" applyFill="1" applyBorder="1" applyAlignment="1">
      <alignment horizontal="center" vertical="center"/>
    </xf>
    <xf numFmtId="0" fontId="6" fillId="5" borderId="38" xfId="0" applyFont="1" applyFill="1" applyBorder="1" applyAlignment="1">
      <alignment horizontal="center" vertical="center"/>
    </xf>
    <xf numFmtId="0" fontId="6" fillId="5" borderId="45" xfId="0" applyFont="1" applyFill="1" applyBorder="1" applyAlignment="1">
      <alignment horizontal="center" vertical="center"/>
    </xf>
    <xf numFmtId="0" fontId="6" fillId="5" borderId="46" xfId="0" applyFont="1" applyFill="1" applyBorder="1" applyAlignment="1">
      <alignment horizontal="center" vertical="center"/>
    </xf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69C3AE-CB27-DB48-A85E-49589D240BF0}">
  <dimension ref="A1:H35"/>
  <sheetViews>
    <sheetView workbookViewId="0">
      <selection activeCell="E21" sqref="E21"/>
    </sheetView>
  </sheetViews>
  <sheetFormatPr baseColWidth="10" defaultRowHeight="16" x14ac:dyDescent="0.2"/>
  <cols>
    <col min="1" max="1" width="11.5" customWidth="1"/>
    <col min="2" max="2" width="29.5" customWidth="1"/>
    <col min="3" max="3" width="15" bestFit="1" customWidth="1"/>
    <col min="4" max="4" width="14.6640625" customWidth="1"/>
    <col min="6" max="6" width="24.1640625" customWidth="1"/>
    <col min="7" max="7" width="18" customWidth="1"/>
    <col min="8" max="8" width="23.5" customWidth="1"/>
  </cols>
  <sheetData>
    <row r="1" spans="1:8" ht="17" thickBot="1" x14ac:dyDescent="0.25"/>
    <row r="2" spans="1:8" ht="17" thickBot="1" x14ac:dyDescent="0.25">
      <c r="B2" s="103" t="s">
        <v>3</v>
      </c>
      <c r="C2" s="104"/>
      <c r="D2" s="98" t="s">
        <v>11</v>
      </c>
      <c r="F2" s="2" t="s">
        <v>60</v>
      </c>
      <c r="G2" s="41"/>
      <c r="H2" s="3"/>
    </row>
    <row r="3" spans="1:8" ht="16" customHeight="1" thickBot="1" x14ac:dyDescent="0.25">
      <c r="A3" s="1"/>
      <c r="B3" s="105"/>
      <c r="C3" s="106"/>
      <c r="D3" s="99"/>
      <c r="E3" s="10"/>
      <c r="F3" s="107" t="s">
        <v>45</v>
      </c>
      <c r="G3" s="108"/>
      <c r="H3" s="81" t="s">
        <v>55</v>
      </c>
    </row>
    <row r="4" spans="1:8" ht="16" customHeight="1" thickBot="1" x14ac:dyDescent="0.25">
      <c r="A4" s="1"/>
      <c r="B4" s="149" t="s">
        <v>0</v>
      </c>
      <c r="C4" s="150"/>
      <c r="D4" s="99"/>
      <c r="E4" s="10"/>
      <c r="F4" s="109"/>
      <c r="G4" s="110"/>
      <c r="H4" s="83"/>
    </row>
    <row r="5" spans="1:8" ht="17" thickBot="1" x14ac:dyDescent="0.25">
      <c r="B5" s="138" t="s">
        <v>41</v>
      </c>
      <c r="C5" s="25">
        <v>1</v>
      </c>
      <c r="D5" s="99"/>
      <c r="E5" s="10"/>
      <c r="F5" s="145" t="s">
        <v>46</v>
      </c>
      <c r="G5" s="146"/>
      <c r="H5" s="35"/>
    </row>
    <row r="6" spans="1:8" ht="17" thickBot="1" x14ac:dyDescent="0.25">
      <c r="B6" s="140" t="s">
        <v>42</v>
      </c>
      <c r="C6" s="18">
        <v>0</v>
      </c>
      <c r="D6" s="99"/>
      <c r="E6" s="10"/>
      <c r="F6" s="151" t="s">
        <v>49</v>
      </c>
      <c r="G6" s="38">
        <f>G13+G9</f>
        <v>308800000</v>
      </c>
      <c r="H6" s="101" t="s">
        <v>56</v>
      </c>
    </row>
    <row r="7" spans="1:8" ht="17" thickBot="1" x14ac:dyDescent="0.25">
      <c r="B7" s="6"/>
      <c r="C7" s="26"/>
      <c r="D7" s="99"/>
      <c r="E7" s="10"/>
      <c r="F7" s="30" t="s">
        <v>50</v>
      </c>
      <c r="G7" s="31"/>
      <c r="H7" s="32"/>
    </row>
    <row r="8" spans="1:8" ht="20" thickBot="1" x14ac:dyDescent="0.25">
      <c r="B8" s="147" t="s">
        <v>4</v>
      </c>
      <c r="C8" s="148"/>
      <c r="D8" s="99"/>
      <c r="E8" s="10"/>
      <c r="F8" s="145" t="s">
        <v>47</v>
      </c>
      <c r="G8" s="146"/>
      <c r="H8" s="33"/>
    </row>
    <row r="9" spans="1:8" ht="17" thickBot="1" x14ac:dyDescent="0.25">
      <c r="B9" s="138" t="s">
        <v>5</v>
      </c>
      <c r="C9" s="27">
        <v>8000000</v>
      </c>
      <c r="D9" s="99"/>
      <c r="E9" s="10"/>
      <c r="F9" s="151" t="s">
        <v>54</v>
      </c>
      <c r="G9" s="37">
        <v>0</v>
      </c>
      <c r="H9" s="86" t="s">
        <v>57</v>
      </c>
    </row>
    <row r="10" spans="1:8" ht="17" thickBot="1" x14ac:dyDescent="0.25">
      <c r="B10" s="139" t="s">
        <v>6</v>
      </c>
      <c r="C10" s="29">
        <v>38.6</v>
      </c>
      <c r="D10" s="99"/>
      <c r="E10" s="10"/>
      <c r="F10" s="30" t="s">
        <v>51</v>
      </c>
      <c r="G10" s="31"/>
      <c r="H10" s="34"/>
    </row>
    <row r="11" spans="1:8" ht="17" thickBot="1" x14ac:dyDescent="0.25">
      <c r="B11" s="139" t="s">
        <v>7</v>
      </c>
      <c r="C11" s="28">
        <v>0.25</v>
      </c>
      <c r="D11" s="99"/>
      <c r="E11" s="10"/>
      <c r="F11" s="145" t="s">
        <v>1</v>
      </c>
      <c r="G11" s="146"/>
      <c r="H11" s="34"/>
    </row>
    <row r="12" spans="1:8" ht="17" thickBot="1" x14ac:dyDescent="0.25">
      <c r="B12" s="140" t="s">
        <v>8</v>
      </c>
      <c r="C12" s="18">
        <v>9.7000000000000003E-2</v>
      </c>
      <c r="D12" s="100"/>
      <c r="E12" s="10"/>
      <c r="F12" s="138" t="s">
        <v>52</v>
      </c>
      <c r="G12" s="40">
        <f>C9*C10</f>
        <v>308800000</v>
      </c>
      <c r="H12" s="102" t="s">
        <v>58</v>
      </c>
    </row>
    <row r="13" spans="1:8" ht="17" thickBot="1" x14ac:dyDescent="0.25">
      <c r="B13" s="10"/>
      <c r="C13" s="10"/>
      <c r="D13" s="10"/>
      <c r="E13" s="10"/>
      <c r="F13" s="140" t="s">
        <v>53</v>
      </c>
      <c r="G13" s="39">
        <f>G12</f>
        <v>308800000</v>
      </c>
      <c r="H13" s="36"/>
    </row>
    <row r="14" spans="1:8" x14ac:dyDescent="0.2">
      <c r="B14" s="10"/>
      <c r="C14" s="10"/>
      <c r="D14" s="10"/>
      <c r="E14" s="10"/>
    </row>
    <row r="15" spans="1:8" x14ac:dyDescent="0.2">
      <c r="B15" s="10"/>
      <c r="C15" s="10"/>
      <c r="D15" s="10"/>
    </row>
    <row r="16" spans="1:8" x14ac:dyDescent="0.2">
      <c r="B16" s="10"/>
      <c r="C16" s="10"/>
      <c r="D16" s="10"/>
    </row>
    <row r="17" spans="5:7" x14ac:dyDescent="0.2">
      <c r="E17" s="10"/>
      <c r="F17" s="10"/>
      <c r="G17" s="10"/>
    </row>
    <row r="18" spans="5:7" x14ac:dyDescent="0.2">
      <c r="E18" s="10"/>
      <c r="F18" s="10"/>
      <c r="G18" s="10"/>
    </row>
    <row r="19" spans="5:7" x14ac:dyDescent="0.2">
      <c r="E19" s="10"/>
      <c r="F19" s="10"/>
      <c r="G19" s="10"/>
    </row>
    <row r="20" spans="5:7" x14ac:dyDescent="0.2">
      <c r="E20" s="10"/>
      <c r="F20" s="10"/>
      <c r="G20" s="10"/>
    </row>
    <row r="21" spans="5:7" x14ac:dyDescent="0.2">
      <c r="E21" s="10"/>
      <c r="F21" s="10"/>
      <c r="G21" s="10"/>
    </row>
    <row r="22" spans="5:7" x14ac:dyDescent="0.2">
      <c r="E22" s="10"/>
      <c r="F22" s="10"/>
      <c r="G22" s="10"/>
    </row>
    <row r="23" spans="5:7" x14ac:dyDescent="0.2">
      <c r="E23" s="10"/>
      <c r="F23" s="10"/>
      <c r="G23" s="10"/>
    </row>
    <row r="24" spans="5:7" x14ac:dyDescent="0.2">
      <c r="E24" s="10"/>
      <c r="F24" s="10"/>
      <c r="G24" s="10"/>
    </row>
    <row r="25" spans="5:7" x14ac:dyDescent="0.2">
      <c r="E25" s="10"/>
      <c r="F25" s="10"/>
      <c r="G25" s="10"/>
    </row>
    <row r="26" spans="5:7" x14ac:dyDescent="0.2">
      <c r="E26" s="10"/>
      <c r="F26" s="10"/>
      <c r="G26" s="10"/>
    </row>
    <row r="27" spans="5:7" x14ac:dyDescent="0.2">
      <c r="E27" s="10"/>
      <c r="F27" s="10"/>
      <c r="G27" s="10"/>
    </row>
    <row r="28" spans="5:7" x14ac:dyDescent="0.2">
      <c r="E28" s="10"/>
      <c r="F28" s="10"/>
      <c r="G28" s="10"/>
    </row>
    <row r="29" spans="5:7" x14ac:dyDescent="0.2">
      <c r="E29" s="10"/>
      <c r="F29" s="10"/>
      <c r="G29" s="10"/>
    </row>
    <row r="30" spans="5:7" x14ac:dyDescent="0.2">
      <c r="E30" s="10"/>
      <c r="F30" s="10"/>
      <c r="G30" s="10"/>
    </row>
    <row r="31" spans="5:7" x14ac:dyDescent="0.2">
      <c r="E31" s="10"/>
      <c r="F31" s="10"/>
      <c r="G31" s="10"/>
    </row>
    <row r="32" spans="5:7" x14ac:dyDescent="0.2">
      <c r="E32" s="10"/>
      <c r="F32" s="10"/>
      <c r="G32" s="10"/>
    </row>
    <row r="33" spans="5:7" x14ac:dyDescent="0.2">
      <c r="E33" s="10"/>
      <c r="F33" s="10"/>
      <c r="G33" s="10"/>
    </row>
    <row r="34" spans="5:7" x14ac:dyDescent="0.2">
      <c r="E34" s="10"/>
      <c r="F34" s="10"/>
      <c r="G34" s="10"/>
    </row>
    <row r="35" spans="5:7" x14ac:dyDescent="0.2">
      <c r="E35" s="10"/>
    </row>
  </sheetData>
  <mergeCells count="15">
    <mergeCell ref="F10:G10"/>
    <mergeCell ref="F11:G11"/>
    <mergeCell ref="H3:H4"/>
    <mergeCell ref="H7:H8"/>
    <mergeCell ref="H10:H11"/>
    <mergeCell ref="F2:H2"/>
    <mergeCell ref="F3:G4"/>
    <mergeCell ref="F5:G5"/>
    <mergeCell ref="F7:G7"/>
    <mergeCell ref="F8:G8"/>
    <mergeCell ref="D2:D12"/>
    <mergeCell ref="B4:C4"/>
    <mergeCell ref="B8:C8"/>
    <mergeCell ref="B7:C7"/>
    <mergeCell ref="B2:C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188499-B161-8443-AE65-9732A3D7E76C}">
  <dimension ref="B1:H23"/>
  <sheetViews>
    <sheetView workbookViewId="0">
      <selection activeCell="F2" sqref="F2:H2"/>
    </sheetView>
  </sheetViews>
  <sheetFormatPr baseColWidth="10" defaultRowHeight="16" x14ac:dyDescent="0.2"/>
  <cols>
    <col min="2" max="2" width="28.6640625" customWidth="1"/>
    <col min="3" max="3" width="17.6640625" customWidth="1"/>
    <col min="4" max="4" width="17.1640625" customWidth="1"/>
    <col min="6" max="6" width="35.33203125" customWidth="1"/>
    <col min="8" max="8" width="18" customWidth="1"/>
  </cols>
  <sheetData>
    <row r="1" spans="2:8" ht="17" thickBot="1" x14ac:dyDescent="0.25"/>
    <row r="2" spans="2:8" ht="17" thickBot="1" x14ac:dyDescent="0.25">
      <c r="B2" s="2" t="s">
        <v>66</v>
      </c>
      <c r="C2" s="41"/>
      <c r="D2" s="3"/>
      <c r="F2" s="43" t="s">
        <v>62</v>
      </c>
      <c r="G2" s="44"/>
      <c r="H2" s="45"/>
    </row>
    <row r="3" spans="2:8" x14ac:dyDescent="0.2">
      <c r="B3" s="134" t="s">
        <v>59</v>
      </c>
      <c r="C3" s="135"/>
      <c r="D3" s="93" t="s">
        <v>16</v>
      </c>
      <c r="F3" s="134" t="s">
        <v>38</v>
      </c>
      <c r="G3" s="135"/>
      <c r="H3" s="93" t="s">
        <v>16</v>
      </c>
    </row>
    <row r="4" spans="2:8" ht="17" thickBot="1" x14ac:dyDescent="0.25">
      <c r="B4" s="136"/>
      <c r="C4" s="137"/>
      <c r="D4" s="94"/>
      <c r="F4" s="136"/>
      <c r="G4" s="137"/>
      <c r="H4" s="94"/>
    </row>
    <row r="5" spans="2:8" ht="16" customHeight="1" x14ac:dyDescent="0.2">
      <c r="B5" s="141" t="s">
        <v>9</v>
      </c>
      <c r="C5" s="13">
        <v>27000000</v>
      </c>
      <c r="D5" s="95" t="s">
        <v>17</v>
      </c>
      <c r="F5" s="138" t="s">
        <v>39</v>
      </c>
      <c r="G5" s="17">
        <v>0.65</v>
      </c>
      <c r="H5" s="95" t="s">
        <v>44</v>
      </c>
    </row>
    <row r="6" spans="2:8" ht="17" customHeight="1" thickBot="1" x14ac:dyDescent="0.25">
      <c r="B6" s="142" t="s">
        <v>13</v>
      </c>
      <c r="C6" s="14">
        <v>4500000</v>
      </c>
      <c r="D6" s="96" t="s">
        <v>17</v>
      </c>
      <c r="F6" s="140" t="s">
        <v>40</v>
      </c>
      <c r="G6" s="18">
        <v>0.35</v>
      </c>
      <c r="H6" s="97" t="s">
        <v>43</v>
      </c>
    </row>
    <row r="7" spans="2:8" ht="17" thickBot="1" x14ac:dyDescent="0.25">
      <c r="B7" s="142" t="s">
        <v>14</v>
      </c>
      <c r="C7" s="14">
        <f>C6*(1-'Pre-Acquisition'!C11)</f>
        <v>3375000</v>
      </c>
      <c r="D7" s="96" t="s">
        <v>18</v>
      </c>
    </row>
    <row r="8" spans="2:8" ht="17" thickBot="1" x14ac:dyDescent="0.25">
      <c r="B8" s="142" t="s">
        <v>10</v>
      </c>
      <c r="C8" s="15" t="s">
        <v>21</v>
      </c>
      <c r="D8" s="96" t="s">
        <v>17</v>
      </c>
      <c r="F8" s="43" t="s">
        <v>62</v>
      </c>
      <c r="G8" s="44"/>
      <c r="H8" s="45"/>
    </row>
    <row r="9" spans="2:8" x14ac:dyDescent="0.2">
      <c r="B9" s="142" t="s">
        <v>12</v>
      </c>
      <c r="C9" s="14">
        <f>C7/'Pre-Acquisition'!C12</f>
        <v>34793814.432989687</v>
      </c>
      <c r="D9" s="96" t="s">
        <v>19</v>
      </c>
      <c r="F9" s="107" t="s">
        <v>61</v>
      </c>
      <c r="G9" s="108"/>
      <c r="H9" s="81" t="s">
        <v>55</v>
      </c>
    </row>
    <row r="10" spans="2:8" ht="17" thickBot="1" x14ac:dyDescent="0.25">
      <c r="B10" s="143" t="s">
        <v>15</v>
      </c>
      <c r="C10" s="16">
        <f>C9-C5</f>
        <v>7793814.4329896867</v>
      </c>
      <c r="D10" s="97" t="s">
        <v>20</v>
      </c>
      <c r="F10" s="113"/>
      <c r="G10" s="114"/>
      <c r="H10" s="82"/>
    </row>
    <row r="11" spans="2:8" ht="17" thickBot="1" x14ac:dyDescent="0.25">
      <c r="B11" s="10"/>
      <c r="C11" s="10"/>
      <c r="D11" s="10"/>
      <c r="F11" s="144" t="s">
        <v>41</v>
      </c>
      <c r="G11" s="46">
        <f>1-G12</f>
        <v>0.91959499702203695</v>
      </c>
      <c r="H11" s="95" t="s">
        <v>63</v>
      </c>
    </row>
    <row r="12" spans="2:8" ht="17" thickBot="1" x14ac:dyDescent="0.25">
      <c r="B12" s="134" t="s">
        <v>35</v>
      </c>
      <c r="C12" s="135"/>
      <c r="D12" s="93" t="s">
        <v>16</v>
      </c>
      <c r="F12" s="140" t="s">
        <v>42</v>
      </c>
      <c r="G12" s="18">
        <f>C5/('Pre-Acquisition'!G13+C5)</f>
        <v>8.0405002977963075E-2</v>
      </c>
      <c r="H12" s="97" t="s">
        <v>64</v>
      </c>
    </row>
    <row r="13" spans="2:8" ht="17" thickBot="1" x14ac:dyDescent="0.25">
      <c r="B13" s="136"/>
      <c r="C13" s="137"/>
      <c r="D13" s="94"/>
    </row>
    <row r="14" spans="2:8" x14ac:dyDescent="0.2">
      <c r="B14" s="138" t="s">
        <v>22</v>
      </c>
      <c r="C14" s="19">
        <v>935.74</v>
      </c>
      <c r="D14" s="95" t="s">
        <v>23</v>
      </c>
    </row>
    <row r="15" spans="2:8" x14ac:dyDescent="0.2">
      <c r="B15" s="139" t="s">
        <v>24</v>
      </c>
      <c r="C15" s="20">
        <v>1000</v>
      </c>
      <c r="D15" s="96" t="s">
        <v>23</v>
      </c>
    </row>
    <row r="16" spans="2:8" x14ac:dyDescent="0.2">
      <c r="B16" s="139" t="s">
        <v>25</v>
      </c>
      <c r="C16" s="21">
        <v>4.4999999999999998E-2</v>
      </c>
      <c r="D16" s="96" t="s">
        <v>23</v>
      </c>
    </row>
    <row r="17" spans="2:4" x14ac:dyDescent="0.2">
      <c r="B17" s="139" t="s">
        <v>26</v>
      </c>
      <c r="C17" s="15" t="s">
        <v>27</v>
      </c>
      <c r="D17" s="96" t="s">
        <v>23</v>
      </c>
    </row>
    <row r="18" spans="2:4" x14ac:dyDescent="0.2">
      <c r="B18" s="139" t="s">
        <v>28</v>
      </c>
      <c r="C18" s="15">
        <v>10</v>
      </c>
      <c r="D18" s="96" t="s">
        <v>23</v>
      </c>
    </row>
    <row r="19" spans="2:4" x14ac:dyDescent="0.2">
      <c r="B19" s="139" t="s">
        <v>29</v>
      </c>
      <c r="C19" s="15">
        <v>5</v>
      </c>
      <c r="D19" s="96" t="s">
        <v>23</v>
      </c>
    </row>
    <row r="20" spans="2:4" x14ac:dyDescent="0.2">
      <c r="B20" s="139" t="s">
        <v>34</v>
      </c>
      <c r="C20" s="15" t="s">
        <v>27</v>
      </c>
      <c r="D20" s="96" t="s">
        <v>23</v>
      </c>
    </row>
    <row r="21" spans="2:4" x14ac:dyDescent="0.2">
      <c r="B21" s="139" t="s">
        <v>30</v>
      </c>
      <c r="C21" s="15">
        <f>C19*2</f>
        <v>10</v>
      </c>
      <c r="D21" s="96" t="s">
        <v>36</v>
      </c>
    </row>
    <row r="22" spans="2:4" x14ac:dyDescent="0.2">
      <c r="B22" s="139" t="s">
        <v>31</v>
      </c>
      <c r="C22" s="22">
        <f>(C15*C16)/2</f>
        <v>22.5</v>
      </c>
      <c r="D22" s="96" t="s">
        <v>33</v>
      </c>
    </row>
    <row r="23" spans="2:4" ht="17" thickBot="1" x14ac:dyDescent="0.25">
      <c r="B23" s="140" t="s">
        <v>32</v>
      </c>
      <c r="C23" s="23">
        <f>(RATE(C21,C22,-C14,C15))*2</f>
        <v>6.0069122239117624E-2</v>
      </c>
      <c r="D23" s="97" t="s">
        <v>37</v>
      </c>
    </row>
  </sheetData>
  <mergeCells count="11">
    <mergeCell ref="B2:D2"/>
    <mergeCell ref="F2:H2"/>
    <mergeCell ref="F8:H8"/>
    <mergeCell ref="F9:G10"/>
    <mergeCell ref="H9:H10"/>
    <mergeCell ref="B3:C4"/>
    <mergeCell ref="D3:D4"/>
    <mergeCell ref="B12:C13"/>
    <mergeCell ref="D12:D13"/>
    <mergeCell ref="F3:G4"/>
    <mergeCell ref="H3:H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F2DB84-9286-4E4E-A6EC-73165615E5E3}">
  <dimension ref="B1:H44"/>
  <sheetViews>
    <sheetView zoomScale="88" workbookViewId="0">
      <selection activeCell="F33" sqref="F33"/>
    </sheetView>
  </sheetViews>
  <sheetFormatPr baseColWidth="10" defaultRowHeight="16" x14ac:dyDescent="0.2"/>
  <cols>
    <col min="2" max="2" width="34.1640625" customWidth="1"/>
    <col min="3" max="3" width="21.33203125" customWidth="1"/>
    <col min="4" max="4" width="30.83203125" customWidth="1"/>
    <col min="6" max="6" width="36.5" customWidth="1"/>
    <col min="7" max="7" width="20.5" customWidth="1"/>
    <col min="8" max="8" width="33.5" customWidth="1"/>
  </cols>
  <sheetData>
    <row r="1" spans="2:8" ht="17" thickBot="1" x14ac:dyDescent="0.25"/>
    <row r="2" spans="2:8" ht="17" thickBot="1" x14ac:dyDescent="0.25">
      <c r="B2" s="2" t="s">
        <v>65</v>
      </c>
      <c r="C2" s="41"/>
      <c r="D2" s="3"/>
      <c r="F2" s="2" t="s">
        <v>75</v>
      </c>
      <c r="G2" s="41"/>
      <c r="H2" s="3"/>
    </row>
    <row r="3" spans="2:8" ht="16" customHeight="1" x14ac:dyDescent="0.2">
      <c r="B3" s="74" t="s">
        <v>74</v>
      </c>
      <c r="C3" s="111"/>
      <c r="D3" s="78" t="s">
        <v>55</v>
      </c>
      <c r="F3" s="107" t="s">
        <v>76</v>
      </c>
      <c r="G3" s="108"/>
      <c r="H3" s="81" t="s">
        <v>55</v>
      </c>
    </row>
    <row r="4" spans="2:8" ht="17" customHeight="1" thickBot="1" x14ac:dyDescent="0.25">
      <c r="B4" s="76"/>
      <c r="C4" s="112"/>
      <c r="D4" s="79"/>
      <c r="F4" s="113"/>
      <c r="G4" s="114"/>
      <c r="H4" s="83"/>
    </row>
    <row r="5" spans="2:8" ht="20" thickBot="1" x14ac:dyDescent="0.25">
      <c r="B5" s="153" t="s">
        <v>46</v>
      </c>
      <c r="C5" s="154"/>
      <c r="D5" s="60"/>
      <c r="F5" s="145" t="s">
        <v>46</v>
      </c>
      <c r="G5" s="146"/>
      <c r="H5" s="60"/>
    </row>
    <row r="6" spans="2:8" x14ac:dyDescent="0.2">
      <c r="B6" s="138" t="s">
        <v>48</v>
      </c>
      <c r="C6" s="63">
        <f>C14+C10</f>
        <v>316593814.43298972</v>
      </c>
      <c r="D6" s="85" t="s">
        <v>56</v>
      </c>
      <c r="F6" s="138" t="s">
        <v>48</v>
      </c>
      <c r="G6" s="63">
        <f>G14+G10</f>
        <v>335800030.70206183</v>
      </c>
      <c r="H6" s="85" t="s">
        <v>56</v>
      </c>
    </row>
    <row r="7" spans="2:8" ht="17" thickBot="1" x14ac:dyDescent="0.25">
      <c r="B7" s="140" t="s">
        <v>49</v>
      </c>
      <c r="C7" s="62">
        <f>C14+C10</f>
        <v>316593814.43298972</v>
      </c>
      <c r="D7" s="32"/>
      <c r="F7" s="140" t="s">
        <v>49</v>
      </c>
      <c r="G7" s="62">
        <f>G6</f>
        <v>335800030.70206183</v>
      </c>
      <c r="H7" s="58"/>
    </row>
    <row r="8" spans="2:8" ht="17" thickBot="1" x14ac:dyDescent="0.25">
      <c r="B8" s="43" t="s">
        <v>50</v>
      </c>
      <c r="C8" s="45"/>
      <c r="D8" s="56"/>
      <c r="F8" s="30" t="s">
        <v>50</v>
      </c>
      <c r="G8" s="31"/>
      <c r="H8" s="56"/>
    </row>
    <row r="9" spans="2:8" ht="20" thickBot="1" x14ac:dyDescent="0.25">
      <c r="B9" s="153" t="s">
        <v>47</v>
      </c>
      <c r="C9" s="154"/>
      <c r="D9" s="33"/>
      <c r="F9" s="149" t="s">
        <v>47</v>
      </c>
      <c r="G9" s="155"/>
      <c r="H9" s="33"/>
    </row>
    <row r="10" spans="2:8" ht="17" thickBot="1" x14ac:dyDescent="0.25">
      <c r="B10" s="151" t="s">
        <v>54</v>
      </c>
      <c r="C10" s="37">
        <v>0</v>
      </c>
      <c r="D10" s="86" t="s">
        <v>57</v>
      </c>
      <c r="F10" s="151" t="s">
        <v>54</v>
      </c>
      <c r="G10" s="37">
        <v>0</v>
      </c>
      <c r="H10" s="86" t="s">
        <v>57</v>
      </c>
    </row>
    <row r="11" spans="2:8" ht="17" thickBot="1" x14ac:dyDescent="0.25">
      <c r="B11" s="43" t="s">
        <v>51</v>
      </c>
      <c r="C11" s="45"/>
      <c r="D11" s="32"/>
      <c r="F11" s="30" t="s">
        <v>51</v>
      </c>
      <c r="G11" s="31"/>
      <c r="H11" s="34"/>
    </row>
    <row r="12" spans="2:8" ht="20" thickBot="1" x14ac:dyDescent="0.25">
      <c r="B12" s="153" t="s">
        <v>1</v>
      </c>
      <c r="C12" s="154"/>
      <c r="D12" s="33"/>
      <c r="F12" s="149" t="s">
        <v>1</v>
      </c>
      <c r="G12" s="155"/>
      <c r="H12" s="48"/>
    </row>
    <row r="13" spans="2:8" x14ac:dyDescent="0.2">
      <c r="B13" s="138" t="s">
        <v>52</v>
      </c>
      <c r="C13" s="49">
        <f>'Pre-Acquisition'!G13+'Acquisition Info'!C10</f>
        <v>316593814.43298972</v>
      </c>
      <c r="D13" s="84" t="s">
        <v>68</v>
      </c>
      <c r="F13" s="138" t="s">
        <v>52</v>
      </c>
      <c r="G13" s="49">
        <f>'Pre-Acquisition'!G13+(C21*C20)</f>
        <v>335800030.70206183</v>
      </c>
      <c r="H13" s="84" t="s">
        <v>80</v>
      </c>
    </row>
    <row r="14" spans="2:8" ht="17" thickBot="1" x14ac:dyDescent="0.25">
      <c r="B14" s="140" t="s">
        <v>53</v>
      </c>
      <c r="C14" s="50">
        <f>C13</f>
        <v>316593814.43298972</v>
      </c>
      <c r="D14" s="47"/>
      <c r="F14" s="140" t="s">
        <v>53</v>
      </c>
      <c r="G14" s="50">
        <f>G13</f>
        <v>335800030.70206183</v>
      </c>
      <c r="H14" s="47"/>
    </row>
    <row r="15" spans="2:8" ht="17" thickBot="1" x14ac:dyDescent="0.25"/>
    <row r="16" spans="2:8" ht="17" thickBot="1" x14ac:dyDescent="0.25">
      <c r="B16" s="2" t="s">
        <v>65</v>
      </c>
      <c r="C16" s="41"/>
      <c r="D16" s="3"/>
      <c r="F16" s="2" t="s">
        <v>75</v>
      </c>
      <c r="G16" s="41"/>
      <c r="H16" s="3"/>
    </row>
    <row r="17" spans="2:8" x14ac:dyDescent="0.2">
      <c r="B17" s="107" t="s">
        <v>71</v>
      </c>
      <c r="C17" s="108"/>
      <c r="D17" s="81" t="s">
        <v>55</v>
      </c>
      <c r="F17" s="107" t="s">
        <v>77</v>
      </c>
      <c r="G17" s="108"/>
      <c r="H17" s="81" t="s">
        <v>55</v>
      </c>
    </row>
    <row r="18" spans="2:8" ht="17" thickBot="1" x14ac:dyDescent="0.25">
      <c r="B18" s="113"/>
      <c r="C18" s="114"/>
      <c r="D18" s="82"/>
      <c r="F18" s="113"/>
      <c r="G18" s="114"/>
      <c r="H18" s="82"/>
    </row>
    <row r="19" spans="2:8" x14ac:dyDescent="0.2">
      <c r="B19" s="158" t="s">
        <v>69</v>
      </c>
      <c r="C19" s="51">
        <f>'Pre-Acquisition'!C9</f>
        <v>8000000</v>
      </c>
      <c r="D19" s="87" t="s">
        <v>72</v>
      </c>
      <c r="F19" s="158" t="s">
        <v>69</v>
      </c>
      <c r="G19" s="51">
        <f>C19+C21</f>
        <v>8682263</v>
      </c>
      <c r="H19" s="87" t="s">
        <v>82</v>
      </c>
    </row>
    <row r="20" spans="2:8" ht="17" thickBot="1" x14ac:dyDescent="0.25">
      <c r="B20" s="160" t="s">
        <v>70</v>
      </c>
      <c r="C20" s="52">
        <f>C14/C19</f>
        <v>39.574226804123711</v>
      </c>
      <c r="D20" s="90" t="s">
        <v>73</v>
      </c>
      <c r="F20" s="159" t="s">
        <v>70</v>
      </c>
      <c r="G20" s="55">
        <f>G14/G19</f>
        <v>38.676555951145666</v>
      </c>
      <c r="H20" s="88" t="s">
        <v>81</v>
      </c>
    </row>
    <row r="21" spans="2:8" x14ac:dyDescent="0.2">
      <c r="B21" s="161" t="s">
        <v>79</v>
      </c>
      <c r="C21" s="53">
        <f>ROUNDUP('Acquisition Info'!C5/C20,0)</f>
        <v>682263</v>
      </c>
      <c r="D21" s="91" t="s">
        <v>78</v>
      </c>
    </row>
    <row r="22" spans="2:8" ht="17" thickBot="1" x14ac:dyDescent="0.25">
      <c r="B22" s="42"/>
      <c r="C22" s="54"/>
      <c r="D22" s="92"/>
    </row>
    <row r="24" spans="2:8" ht="17" thickBot="1" x14ac:dyDescent="0.25"/>
    <row r="25" spans="2:8" ht="17" thickBot="1" x14ac:dyDescent="0.25">
      <c r="B25" s="2" t="s">
        <v>83</v>
      </c>
      <c r="C25" s="41"/>
      <c r="D25" s="3"/>
    </row>
    <row r="26" spans="2:8" x14ac:dyDescent="0.2">
      <c r="B26" s="107" t="s">
        <v>67</v>
      </c>
      <c r="C26" s="108"/>
      <c r="D26" s="81" t="s">
        <v>55</v>
      </c>
    </row>
    <row r="27" spans="2:8" ht="17" thickBot="1" x14ac:dyDescent="0.25">
      <c r="B27" s="113"/>
      <c r="C27" s="114"/>
      <c r="D27" s="83"/>
    </row>
    <row r="28" spans="2:8" ht="23" thickBot="1" x14ac:dyDescent="0.25">
      <c r="B28" s="156" t="s">
        <v>46</v>
      </c>
      <c r="C28" s="157"/>
      <c r="D28" s="57"/>
    </row>
    <row r="29" spans="2:8" x14ac:dyDescent="0.2">
      <c r="B29" s="138" t="s">
        <v>48</v>
      </c>
      <c r="C29" s="63">
        <f>'Pre-Acquisition'!G13+'Acquisition Info'!C10</f>
        <v>316593814.43298972</v>
      </c>
      <c r="D29" s="84" t="s">
        <v>107</v>
      </c>
    </row>
    <row r="30" spans="2:8" x14ac:dyDescent="0.2">
      <c r="B30" s="139" t="s">
        <v>86</v>
      </c>
      <c r="C30" s="61">
        <f>'Acquisition Info'!C5</f>
        <v>27000000</v>
      </c>
      <c r="D30" s="85" t="s">
        <v>85</v>
      </c>
    </row>
    <row r="31" spans="2:8" ht="17" thickBot="1" x14ac:dyDescent="0.25">
      <c r="B31" s="140" t="s">
        <v>49</v>
      </c>
      <c r="C31" s="62">
        <f>C29+C30</f>
        <v>343593814.43298972</v>
      </c>
      <c r="D31" s="58"/>
    </row>
    <row r="32" spans="2:8" ht="17" thickBot="1" x14ac:dyDescent="0.25">
      <c r="B32" s="30" t="s">
        <v>50</v>
      </c>
      <c r="C32" s="31"/>
      <c r="D32" s="56"/>
    </row>
    <row r="33" spans="2:4" ht="20" thickBot="1" x14ac:dyDescent="0.25">
      <c r="B33" s="149" t="s">
        <v>47</v>
      </c>
      <c r="C33" s="155"/>
      <c r="D33" s="59"/>
    </row>
    <row r="34" spans="2:4" ht="17" thickBot="1" x14ac:dyDescent="0.25">
      <c r="B34" s="151" t="s">
        <v>54</v>
      </c>
      <c r="C34" s="64">
        <v>0</v>
      </c>
      <c r="D34" s="89" t="s">
        <v>57</v>
      </c>
    </row>
    <row r="35" spans="2:4" ht="17" thickBot="1" x14ac:dyDescent="0.25">
      <c r="B35" s="30" t="s">
        <v>51</v>
      </c>
      <c r="C35" s="31"/>
      <c r="D35" s="34"/>
    </row>
    <row r="36" spans="2:4" ht="20" thickBot="1" x14ac:dyDescent="0.25">
      <c r="B36" s="149" t="s">
        <v>1</v>
      </c>
      <c r="C36" s="150"/>
      <c r="D36" s="34"/>
    </row>
    <row r="37" spans="2:4" x14ac:dyDescent="0.2">
      <c r="B37" s="138" t="s">
        <v>52</v>
      </c>
      <c r="C37" s="40">
        <f>'Pre-Acquisition'!G13+'Acquisition Info'!C10+'Acquisition Info'!C5</f>
        <v>343593814.43298972</v>
      </c>
      <c r="D37" s="102" t="s">
        <v>84</v>
      </c>
    </row>
    <row r="38" spans="2:4" ht="17" thickBot="1" x14ac:dyDescent="0.25">
      <c r="B38" s="140" t="s">
        <v>53</v>
      </c>
      <c r="C38" s="39">
        <f>C37</f>
        <v>343593814.43298972</v>
      </c>
      <c r="D38" s="36"/>
    </row>
    <row r="39" spans="2:4" ht="17" thickBot="1" x14ac:dyDescent="0.25"/>
    <row r="40" spans="2:4" ht="17" thickBot="1" x14ac:dyDescent="0.25">
      <c r="B40" s="2" t="s">
        <v>83</v>
      </c>
      <c r="C40" s="41"/>
      <c r="D40" s="3"/>
    </row>
    <row r="41" spans="2:4" x14ac:dyDescent="0.2">
      <c r="B41" s="107" t="s">
        <v>93</v>
      </c>
      <c r="C41" s="108"/>
      <c r="D41" s="81" t="s">
        <v>55</v>
      </c>
    </row>
    <row r="42" spans="2:4" ht="17" thickBot="1" x14ac:dyDescent="0.25">
      <c r="B42" s="113"/>
      <c r="C42" s="114"/>
      <c r="D42" s="82"/>
    </row>
    <row r="43" spans="2:4" x14ac:dyDescent="0.2">
      <c r="B43" s="158" t="s">
        <v>69</v>
      </c>
      <c r="C43" s="51">
        <f>C19+C21</f>
        <v>8682263</v>
      </c>
      <c r="D43" s="87" t="s">
        <v>82</v>
      </c>
    </row>
    <row r="44" spans="2:4" ht="17" thickBot="1" x14ac:dyDescent="0.25">
      <c r="B44" s="159" t="s">
        <v>70</v>
      </c>
      <c r="C44" s="55">
        <f>C38/C43</f>
        <v>39.574223267941747</v>
      </c>
      <c r="D44" s="88" t="s">
        <v>73</v>
      </c>
    </row>
  </sheetData>
  <mergeCells count="42">
    <mergeCell ref="B40:D40"/>
    <mergeCell ref="B41:C42"/>
    <mergeCell ref="D41:D42"/>
    <mergeCell ref="D7:D9"/>
    <mergeCell ref="H7:H9"/>
    <mergeCell ref="D31:D33"/>
    <mergeCell ref="B28:C28"/>
    <mergeCell ref="B32:C32"/>
    <mergeCell ref="B33:C33"/>
    <mergeCell ref="B35:C35"/>
    <mergeCell ref="D35:D36"/>
    <mergeCell ref="B36:C36"/>
    <mergeCell ref="B21:B22"/>
    <mergeCell ref="C21:C22"/>
    <mergeCell ref="D21:D22"/>
    <mergeCell ref="B25:D25"/>
    <mergeCell ref="B26:C27"/>
    <mergeCell ref="D26:D27"/>
    <mergeCell ref="F11:G11"/>
    <mergeCell ref="H11:H12"/>
    <mergeCell ref="F12:G12"/>
    <mergeCell ref="F16:H16"/>
    <mergeCell ref="F17:G18"/>
    <mergeCell ref="H17:H18"/>
    <mergeCell ref="F2:H2"/>
    <mergeCell ref="F3:G4"/>
    <mergeCell ref="H3:H4"/>
    <mergeCell ref="F5:G5"/>
    <mergeCell ref="F8:G8"/>
    <mergeCell ref="F9:G9"/>
    <mergeCell ref="B11:C11"/>
    <mergeCell ref="D11:D12"/>
    <mergeCell ref="B12:C12"/>
    <mergeCell ref="B16:D16"/>
    <mergeCell ref="B17:C18"/>
    <mergeCell ref="D17:D18"/>
    <mergeCell ref="B2:D2"/>
    <mergeCell ref="B3:C4"/>
    <mergeCell ref="D3:D4"/>
    <mergeCell ref="B5:C5"/>
    <mergeCell ref="B8:C8"/>
    <mergeCell ref="B9:C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F40391-9BB8-154F-A121-E94FEC0DC9FB}">
  <dimension ref="B1:H24"/>
  <sheetViews>
    <sheetView zoomScale="75" workbookViewId="0">
      <selection activeCell="E28" sqref="E28"/>
    </sheetView>
  </sheetViews>
  <sheetFormatPr baseColWidth="10" defaultRowHeight="16" x14ac:dyDescent="0.2"/>
  <cols>
    <col min="2" max="2" width="36" customWidth="1"/>
    <col min="3" max="3" width="25.5" customWidth="1"/>
    <col min="4" max="4" width="31.5" customWidth="1"/>
    <col min="6" max="6" width="29.5" customWidth="1"/>
    <col min="7" max="7" width="26.5" customWidth="1"/>
    <col min="8" max="8" width="36.5" customWidth="1"/>
  </cols>
  <sheetData>
    <row r="1" spans="2:8" ht="17" thickBot="1" x14ac:dyDescent="0.25"/>
    <row r="2" spans="2:8" ht="17" thickBot="1" x14ac:dyDescent="0.25">
      <c r="B2" s="67" t="s">
        <v>92</v>
      </c>
      <c r="C2" s="68"/>
      <c r="D2" s="69"/>
      <c r="E2" s="10"/>
      <c r="F2" s="67" t="s">
        <v>91</v>
      </c>
      <c r="G2" s="68"/>
      <c r="H2" s="69"/>
    </row>
    <row r="3" spans="2:8" ht="16" customHeight="1" x14ac:dyDescent="0.2">
      <c r="B3" s="107" t="s">
        <v>94</v>
      </c>
      <c r="C3" s="108"/>
      <c r="D3" s="81" t="s">
        <v>55</v>
      </c>
      <c r="E3" s="10"/>
      <c r="F3" s="74" t="s">
        <v>96</v>
      </c>
      <c r="G3" s="75"/>
      <c r="H3" s="78" t="s">
        <v>55</v>
      </c>
    </row>
    <row r="4" spans="2:8" ht="17" customHeight="1" thickBot="1" x14ac:dyDescent="0.25">
      <c r="B4" s="113"/>
      <c r="C4" s="114"/>
      <c r="D4" s="82"/>
      <c r="E4" s="10"/>
      <c r="F4" s="76"/>
      <c r="G4" s="77"/>
      <c r="H4" s="79"/>
    </row>
    <row r="5" spans="2:8" ht="20" thickBot="1" x14ac:dyDescent="0.25">
      <c r="B5" s="144" t="s">
        <v>87</v>
      </c>
      <c r="C5" s="70">
        <f>'Pre-Acquisition'!C11*'Acquisition Info'!C5</f>
        <v>6750000</v>
      </c>
      <c r="D5" s="95" t="s">
        <v>89</v>
      </c>
      <c r="E5" s="10"/>
      <c r="F5" s="153" t="s">
        <v>46</v>
      </c>
      <c r="G5" s="162"/>
      <c r="H5" s="35"/>
    </row>
    <row r="6" spans="2:8" ht="17" thickBot="1" x14ac:dyDescent="0.25">
      <c r="B6" s="140" t="s">
        <v>88</v>
      </c>
      <c r="C6" s="71">
        <f>'Acquisition Info'!C9+'Pre-Acquisition'!G12+'100% Debt Finance'!C5</f>
        <v>350343814.43298972</v>
      </c>
      <c r="D6" s="97" t="s">
        <v>90</v>
      </c>
      <c r="E6" s="10"/>
      <c r="F6" s="138" t="s">
        <v>48</v>
      </c>
      <c r="G6" s="65">
        <f>G15</f>
        <v>323343814.43298972</v>
      </c>
      <c r="H6" s="102" t="s">
        <v>107</v>
      </c>
    </row>
    <row r="7" spans="2:8" ht="17" thickBot="1" x14ac:dyDescent="0.25">
      <c r="B7" s="10"/>
      <c r="C7" s="72"/>
      <c r="D7" s="10"/>
      <c r="E7" s="10"/>
      <c r="F7" s="139" t="s">
        <v>86</v>
      </c>
      <c r="G7" s="37">
        <f>'Acquisition Info'!C5</f>
        <v>27000000</v>
      </c>
      <c r="H7" s="101" t="s">
        <v>85</v>
      </c>
    </row>
    <row r="8" spans="2:8" ht="17" thickBot="1" x14ac:dyDescent="0.25">
      <c r="B8" s="10"/>
      <c r="C8" s="72"/>
      <c r="D8" s="10"/>
      <c r="E8" s="10"/>
      <c r="F8" s="140" t="s">
        <v>49</v>
      </c>
      <c r="G8" s="66">
        <f>G6+G7</f>
        <v>350343814.43298972</v>
      </c>
      <c r="H8" s="32"/>
    </row>
    <row r="9" spans="2:8" ht="17" thickBot="1" x14ac:dyDescent="0.25">
      <c r="B9" s="10"/>
      <c r="C9" s="10"/>
      <c r="D9" s="10"/>
      <c r="E9" s="10"/>
      <c r="F9" s="30" t="s">
        <v>50</v>
      </c>
      <c r="G9" s="31"/>
      <c r="H9" s="56"/>
    </row>
    <row r="10" spans="2:8" ht="20" thickBot="1" x14ac:dyDescent="0.25">
      <c r="B10" s="67" t="s">
        <v>108</v>
      </c>
      <c r="C10" s="68"/>
      <c r="D10" s="69"/>
      <c r="E10" s="10"/>
      <c r="F10" s="149" t="s">
        <v>47</v>
      </c>
      <c r="G10" s="150"/>
      <c r="H10" s="33"/>
    </row>
    <row r="11" spans="2:8" ht="17" thickBot="1" x14ac:dyDescent="0.25">
      <c r="B11" s="165" t="s">
        <v>135</v>
      </c>
      <c r="C11" s="166"/>
      <c r="D11" s="81" t="s">
        <v>55</v>
      </c>
      <c r="E11" s="10"/>
      <c r="F11" s="151" t="s">
        <v>54</v>
      </c>
      <c r="G11" s="37">
        <f>'Acquisition Info'!C5</f>
        <v>27000000</v>
      </c>
      <c r="H11" s="86" t="s">
        <v>104</v>
      </c>
    </row>
    <row r="12" spans="2:8" ht="17" thickBot="1" x14ac:dyDescent="0.25">
      <c r="B12" s="167"/>
      <c r="C12" s="168"/>
      <c r="D12" s="82"/>
      <c r="E12" s="10"/>
      <c r="F12" s="43" t="s">
        <v>51</v>
      </c>
      <c r="G12" s="44"/>
      <c r="H12" s="32"/>
    </row>
    <row r="13" spans="2:8" ht="17" thickBot="1" x14ac:dyDescent="0.25">
      <c r="B13" s="144" t="s">
        <v>100</v>
      </c>
      <c r="C13" s="133">
        <f>'Pre-Acquisition'!C12</f>
        <v>9.7000000000000003E-2</v>
      </c>
      <c r="D13" s="24" t="s">
        <v>102</v>
      </c>
      <c r="E13" s="10"/>
      <c r="F13" s="152" t="s">
        <v>1</v>
      </c>
      <c r="G13" s="163"/>
      <c r="H13" s="33"/>
    </row>
    <row r="14" spans="2:8" x14ac:dyDescent="0.2">
      <c r="B14" s="139" t="s">
        <v>97</v>
      </c>
      <c r="C14" s="11">
        <f>'Acquisition Info'!C23</f>
        <v>6.0069122239117624E-2</v>
      </c>
      <c r="D14" s="9" t="s">
        <v>103</v>
      </c>
      <c r="E14" s="10"/>
      <c r="F14" s="138" t="s">
        <v>52</v>
      </c>
      <c r="G14" s="40">
        <f>C6-'Acquisition Info'!C5</f>
        <v>323343814.43298972</v>
      </c>
      <c r="H14" s="102" t="s">
        <v>106</v>
      </c>
    </row>
    <row r="15" spans="2:8" ht="17" thickBot="1" x14ac:dyDescent="0.25">
      <c r="B15" s="139" t="s">
        <v>98</v>
      </c>
      <c r="C15" s="132">
        <f>'Acquisition Info'!C5</f>
        <v>27000000</v>
      </c>
      <c r="D15" s="9" t="s">
        <v>2</v>
      </c>
      <c r="E15" s="10"/>
      <c r="F15" s="140" t="s">
        <v>53</v>
      </c>
      <c r="G15" s="39">
        <f>G14</f>
        <v>323343814.43298972</v>
      </c>
      <c r="H15" s="36"/>
    </row>
    <row r="16" spans="2:8" ht="17" thickBot="1" x14ac:dyDescent="0.25">
      <c r="B16" s="139" t="s">
        <v>99</v>
      </c>
      <c r="C16" s="132">
        <f>G15</f>
        <v>323343814.43298972</v>
      </c>
      <c r="D16" s="9" t="s">
        <v>1</v>
      </c>
      <c r="E16" s="10"/>
      <c r="F16" s="10"/>
      <c r="G16" s="10"/>
      <c r="H16" s="10"/>
    </row>
    <row r="17" spans="2:8" ht="17" thickBot="1" x14ac:dyDescent="0.25">
      <c r="B17" s="139" t="s">
        <v>128</v>
      </c>
      <c r="C17" s="132">
        <f>C6</f>
        <v>350343814.43298972</v>
      </c>
      <c r="D17" s="9" t="s">
        <v>129</v>
      </c>
      <c r="E17" s="10"/>
      <c r="F17" s="67" t="s">
        <v>91</v>
      </c>
      <c r="G17" s="68"/>
      <c r="H17" s="69"/>
    </row>
    <row r="18" spans="2:8" x14ac:dyDescent="0.2">
      <c r="B18" s="139" t="s">
        <v>134</v>
      </c>
      <c r="C18" s="11">
        <f>C13+(C13-C14)*(C15/C16)</f>
        <v>0.10008381869401888</v>
      </c>
      <c r="D18" s="9" t="s">
        <v>101</v>
      </c>
      <c r="E18" s="10"/>
      <c r="F18" s="107" t="s">
        <v>95</v>
      </c>
      <c r="G18" s="108"/>
      <c r="H18" s="81" t="s">
        <v>55</v>
      </c>
    </row>
    <row r="19" spans="2:8" ht="17" thickBot="1" x14ac:dyDescent="0.25">
      <c r="B19" s="140" t="s">
        <v>132</v>
      </c>
      <c r="C19" s="12">
        <f>(C16/C17)*C18+(C15/C17)*(C14*(1-'Pre-Acquisition'!C11))</f>
        <v>9.584266095643712E-2</v>
      </c>
      <c r="D19" s="8" t="s">
        <v>133</v>
      </c>
      <c r="E19" s="10"/>
      <c r="F19" s="113"/>
      <c r="G19" s="114"/>
      <c r="H19" s="82"/>
    </row>
    <row r="20" spans="2:8" x14ac:dyDescent="0.2">
      <c r="B20" s="10"/>
      <c r="C20" s="10"/>
      <c r="D20" s="10"/>
      <c r="E20" s="10"/>
      <c r="F20" s="144" t="s">
        <v>69</v>
      </c>
      <c r="G20" s="73">
        <f>'Pre-Acquisition'!C9</f>
        <v>8000000</v>
      </c>
      <c r="H20" s="95" t="s">
        <v>105</v>
      </c>
    </row>
    <row r="21" spans="2:8" ht="17" thickBot="1" x14ac:dyDescent="0.25">
      <c r="B21" s="10"/>
      <c r="C21" s="10"/>
      <c r="D21" s="10"/>
      <c r="E21" s="10"/>
      <c r="F21" s="140" t="s">
        <v>70</v>
      </c>
      <c r="G21" s="16">
        <f>G15/G20</f>
        <v>40.417976804123711</v>
      </c>
      <c r="H21" s="97" t="s">
        <v>73</v>
      </c>
    </row>
    <row r="22" spans="2:8" x14ac:dyDescent="0.2">
      <c r="B22" s="10"/>
      <c r="C22" s="10"/>
      <c r="D22" s="10"/>
      <c r="E22" s="10"/>
      <c r="F22" s="10"/>
      <c r="G22" s="10"/>
      <c r="H22" s="10"/>
    </row>
    <row r="23" spans="2:8" x14ac:dyDescent="0.2">
      <c r="B23" s="10"/>
      <c r="C23" s="10"/>
      <c r="D23" s="10"/>
      <c r="E23" s="10"/>
      <c r="F23" s="10"/>
      <c r="G23" s="10"/>
      <c r="H23" s="10"/>
    </row>
    <row r="24" spans="2:8" x14ac:dyDescent="0.2">
      <c r="B24" s="10"/>
      <c r="C24" s="10"/>
      <c r="D24" s="10"/>
      <c r="E24" s="10"/>
      <c r="F24" s="10"/>
      <c r="G24" s="10"/>
      <c r="H24" s="10"/>
    </row>
  </sheetData>
  <mergeCells count="19">
    <mergeCell ref="H8:H10"/>
    <mergeCell ref="F9:G9"/>
    <mergeCell ref="F12:G12"/>
    <mergeCell ref="H12:H13"/>
    <mergeCell ref="B10:D10"/>
    <mergeCell ref="B11:C12"/>
    <mergeCell ref="F13:G13"/>
    <mergeCell ref="F17:H17"/>
    <mergeCell ref="F18:G19"/>
    <mergeCell ref="H18:H19"/>
    <mergeCell ref="F2:H2"/>
    <mergeCell ref="F3:G4"/>
    <mergeCell ref="H3:H4"/>
    <mergeCell ref="F5:G5"/>
    <mergeCell ref="F10:G10"/>
    <mergeCell ref="D11:D12"/>
    <mergeCell ref="B2:D2"/>
    <mergeCell ref="B3:C4"/>
    <mergeCell ref="D3:D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91833B-7E4D-C144-9FB4-49B7C25D84D3}">
  <dimension ref="C1:M23"/>
  <sheetViews>
    <sheetView tabSelected="1" zoomScale="75" workbookViewId="0">
      <selection activeCell="K27" sqref="K27"/>
    </sheetView>
  </sheetViews>
  <sheetFormatPr baseColWidth="10" defaultRowHeight="16" x14ac:dyDescent="0.2"/>
  <cols>
    <col min="2" max="2" width="9.6640625" customWidth="1"/>
    <col min="3" max="3" width="17" customWidth="1"/>
    <col min="4" max="4" width="20.33203125" customWidth="1"/>
    <col min="5" max="5" width="20.5" customWidth="1"/>
    <col min="7" max="7" width="20.1640625" customWidth="1"/>
    <col min="8" max="8" width="18.83203125" customWidth="1"/>
    <col min="9" max="9" width="24.33203125" customWidth="1"/>
    <col min="11" max="11" width="17" customWidth="1"/>
    <col min="12" max="12" width="17.6640625" customWidth="1"/>
    <col min="13" max="13" width="29" customWidth="1"/>
  </cols>
  <sheetData>
    <row r="1" spans="3:13" ht="17" thickBot="1" x14ac:dyDescent="0.25"/>
    <row r="2" spans="3:13" ht="17" thickBot="1" x14ac:dyDescent="0.25">
      <c r="C2" s="67" t="s">
        <v>114</v>
      </c>
      <c r="D2" s="68"/>
      <c r="E2" s="69"/>
      <c r="F2" s="10"/>
      <c r="G2" s="67" t="s">
        <v>114</v>
      </c>
      <c r="H2" s="68"/>
      <c r="I2" s="69"/>
      <c r="J2" s="10"/>
      <c r="K2" s="67" t="s">
        <v>114</v>
      </c>
      <c r="L2" s="68"/>
      <c r="M2" s="69"/>
    </row>
    <row r="3" spans="3:13" ht="16" customHeight="1" x14ac:dyDescent="0.2">
      <c r="C3" s="74" t="s">
        <v>116</v>
      </c>
      <c r="D3" s="75"/>
      <c r="E3" s="78" t="s">
        <v>55</v>
      </c>
      <c r="F3" s="10"/>
      <c r="G3" s="74" t="s">
        <v>120</v>
      </c>
      <c r="H3" s="75"/>
      <c r="I3" s="78" t="s">
        <v>55</v>
      </c>
      <c r="J3" s="10"/>
      <c r="K3" s="74" t="s">
        <v>121</v>
      </c>
      <c r="L3" s="75"/>
      <c r="M3" s="78" t="s">
        <v>55</v>
      </c>
    </row>
    <row r="4" spans="3:13" ht="16" customHeight="1" thickBot="1" x14ac:dyDescent="0.25">
      <c r="C4" s="76"/>
      <c r="D4" s="77"/>
      <c r="E4" s="79"/>
      <c r="F4" s="10"/>
      <c r="G4" s="76"/>
      <c r="H4" s="77"/>
      <c r="I4" s="79"/>
      <c r="J4" s="10"/>
      <c r="K4" s="76"/>
      <c r="L4" s="77"/>
      <c r="M4" s="79"/>
    </row>
    <row r="5" spans="3:13" ht="17" customHeight="1" x14ac:dyDescent="0.2">
      <c r="C5" s="138" t="s">
        <v>117</v>
      </c>
      <c r="D5" s="13">
        <v>1500000</v>
      </c>
      <c r="E5" s="117" t="s">
        <v>23</v>
      </c>
      <c r="F5" s="10"/>
      <c r="G5" s="138" t="s">
        <v>122</v>
      </c>
      <c r="H5" s="120">
        <f>'Pre-Acquisition'!C9</f>
        <v>8000000</v>
      </c>
      <c r="I5" s="117" t="s">
        <v>105</v>
      </c>
      <c r="J5" s="10"/>
      <c r="K5" s="138" t="s">
        <v>122</v>
      </c>
      <c r="L5" s="120">
        <f>H5+H7</f>
        <v>8736202</v>
      </c>
      <c r="M5" s="117" t="s">
        <v>125</v>
      </c>
    </row>
    <row r="6" spans="3:13" x14ac:dyDescent="0.2">
      <c r="C6" s="139" t="s">
        <v>118</v>
      </c>
      <c r="D6" s="14">
        <f>D5*(1-0.25)</f>
        <v>1125000</v>
      </c>
      <c r="E6" s="96" t="s">
        <v>130</v>
      </c>
      <c r="F6" s="10"/>
      <c r="G6" s="139" t="s">
        <v>123</v>
      </c>
      <c r="H6" s="15">
        <f>H9/H5</f>
        <v>36.674742268041236</v>
      </c>
      <c r="I6" s="96" t="s">
        <v>126</v>
      </c>
      <c r="J6" s="10"/>
      <c r="K6" s="139" t="s">
        <v>123</v>
      </c>
      <c r="L6" s="15">
        <f>L7/L5</f>
        <v>36.674740138143541</v>
      </c>
      <c r="M6" s="96" t="s">
        <v>126</v>
      </c>
    </row>
    <row r="7" spans="3:13" ht="25" customHeight="1" thickBot="1" x14ac:dyDescent="0.25">
      <c r="C7" s="139" t="s">
        <v>110</v>
      </c>
      <c r="D7" s="14">
        <f>D6/'Pre-Acquisition'!C12</f>
        <v>11597938.144329896</v>
      </c>
      <c r="E7" s="96" t="s">
        <v>19</v>
      </c>
      <c r="F7" s="10"/>
      <c r="G7" s="161" t="s">
        <v>124</v>
      </c>
      <c r="H7" s="118">
        <f>ROUNDUP('Acquisition Info'!C5/'Scenerio Analysis'!H6,0)</f>
        <v>736202</v>
      </c>
      <c r="I7" s="119" t="s">
        <v>127</v>
      </c>
      <c r="J7" s="10"/>
      <c r="K7" s="164" t="s">
        <v>112</v>
      </c>
      <c r="L7" s="126">
        <f>'Acquisition Info'!C5+'Scenerio Analysis'!H9</f>
        <v>320397938.14432991</v>
      </c>
      <c r="M7" s="127" t="s">
        <v>136</v>
      </c>
    </row>
    <row r="8" spans="3:13" ht="21" customHeight="1" thickBot="1" x14ac:dyDescent="0.25">
      <c r="C8" s="164" t="s">
        <v>111</v>
      </c>
      <c r="D8" s="126">
        <f>D7-'Acquisition Info'!C5</f>
        <v>-15402061.855670104</v>
      </c>
      <c r="E8" s="127" t="s">
        <v>131</v>
      </c>
      <c r="F8" s="10"/>
      <c r="G8" s="161"/>
      <c r="H8" s="118"/>
      <c r="I8" s="125"/>
      <c r="J8" s="10"/>
      <c r="K8" s="129"/>
      <c r="L8" s="130"/>
      <c r="M8" s="131"/>
    </row>
    <row r="9" spans="3:13" ht="17" thickBot="1" x14ac:dyDescent="0.25">
      <c r="C9" s="4"/>
      <c r="D9" s="128"/>
      <c r="E9" s="5"/>
      <c r="F9" s="10"/>
      <c r="G9" s="140" t="s">
        <v>112</v>
      </c>
      <c r="H9" s="16">
        <f>'Pre-Acquisition'!G13+'Scenerio Analysis'!D8</f>
        <v>293397938.14432991</v>
      </c>
      <c r="I9" s="97" t="s">
        <v>119</v>
      </c>
      <c r="J9" s="10"/>
      <c r="K9" s="6"/>
      <c r="L9" s="26"/>
      <c r="M9" s="7"/>
    </row>
    <row r="10" spans="3:13" x14ac:dyDescent="0.2"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</row>
    <row r="11" spans="3:13" ht="17" thickBot="1" x14ac:dyDescent="0.25"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</row>
    <row r="12" spans="3:13" ht="17" thickBot="1" x14ac:dyDescent="0.25">
      <c r="C12" s="67" t="s">
        <v>113</v>
      </c>
      <c r="D12" s="68"/>
      <c r="E12" s="69"/>
      <c r="F12" s="10"/>
      <c r="G12" s="67" t="s">
        <v>113</v>
      </c>
      <c r="H12" s="68"/>
      <c r="I12" s="69"/>
      <c r="J12" s="10"/>
      <c r="K12" s="67" t="s">
        <v>113</v>
      </c>
      <c r="L12" s="68"/>
      <c r="M12" s="69"/>
    </row>
    <row r="13" spans="3:13" ht="16" customHeight="1" x14ac:dyDescent="0.2">
      <c r="C13" s="74" t="s">
        <v>115</v>
      </c>
      <c r="D13" s="75"/>
      <c r="E13" s="78" t="s">
        <v>55</v>
      </c>
      <c r="F13" s="10"/>
      <c r="G13" s="74" t="s">
        <v>120</v>
      </c>
      <c r="H13" s="75"/>
      <c r="I13" s="78" t="s">
        <v>55</v>
      </c>
      <c r="J13" s="10"/>
      <c r="K13" s="74" t="s">
        <v>121</v>
      </c>
      <c r="L13" s="75"/>
      <c r="M13" s="78" t="s">
        <v>55</v>
      </c>
    </row>
    <row r="14" spans="3:13" ht="16" customHeight="1" thickBot="1" x14ac:dyDescent="0.25">
      <c r="C14" s="76"/>
      <c r="D14" s="77"/>
      <c r="E14" s="79"/>
      <c r="F14" s="10"/>
      <c r="G14" s="115"/>
      <c r="H14" s="116"/>
      <c r="I14" s="80"/>
      <c r="J14" s="10"/>
      <c r="K14" s="76"/>
      <c r="L14" s="77"/>
      <c r="M14" s="79"/>
    </row>
    <row r="15" spans="3:13" ht="17" customHeight="1" x14ac:dyDescent="0.2">
      <c r="C15" s="138" t="s">
        <v>117</v>
      </c>
      <c r="D15" s="13">
        <v>3492000</v>
      </c>
      <c r="E15" s="117" t="s">
        <v>23</v>
      </c>
      <c r="F15" s="10"/>
      <c r="G15" s="144" t="s">
        <v>122</v>
      </c>
      <c r="H15" s="73">
        <f>'Pre-Acquisition'!C9</f>
        <v>8000000</v>
      </c>
      <c r="I15" s="95" t="s">
        <v>105</v>
      </c>
      <c r="J15" s="10"/>
      <c r="K15" s="138" t="s">
        <v>122</v>
      </c>
      <c r="L15" s="120">
        <f>H15+H17</f>
        <v>8699482</v>
      </c>
      <c r="M15" s="117" t="s">
        <v>125</v>
      </c>
    </row>
    <row r="16" spans="3:13" x14ac:dyDescent="0.2">
      <c r="C16" s="139" t="s">
        <v>109</v>
      </c>
      <c r="D16" s="14">
        <f>D15*(1-0.25)</f>
        <v>2619000</v>
      </c>
      <c r="E16" s="96" t="s">
        <v>130</v>
      </c>
      <c r="F16" s="10"/>
      <c r="G16" s="139" t="s">
        <v>123</v>
      </c>
      <c r="H16" s="124">
        <f>H19/H15</f>
        <v>38.6</v>
      </c>
      <c r="I16" s="96" t="s">
        <v>126</v>
      </c>
      <c r="J16" s="10"/>
      <c r="K16" s="139" t="s">
        <v>123</v>
      </c>
      <c r="L16" s="15">
        <f>L17/L15</f>
        <v>38.599999402263258</v>
      </c>
      <c r="M16" s="96" t="s">
        <v>126</v>
      </c>
    </row>
    <row r="17" spans="3:13" ht="26" customHeight="1" thickBot="1" x14ac:dyDescent="0.25">
      <c r="C17" s="139" t="s">
        <v>110</v>
      </c>
      <c r="D17" s="14">
        <f>D16/'Pre-Acquisition'!C12</f>
        <v>27000000</v>
      </c>
      <c r="E17" s="96" t="s">
        <v>19</v>
      </c>
      <c r="F17" s="10"/>
      <c r="G17" s="161" t="s">
        <v>124</v>
      </c>
      <c r="H17" s="118">
        <f>ROUNDUP('Acquisition Info'!C5/'Scenerio Analysis'!H16,0)</f>
        <v>699482</v>
      </c>
      <c r="I17" s="119" t="s">
        <v>127</v>
      </c>
      <c r="J17" s="10"/>
      <c r="K17" s="164" t="s">
        <v>112</v>
      </c>
      <c r="L17" s="126">
        <f>H19+'Acquisition Info'!C5</f>
        <v>335800000</v>
      </c>
      <c r="M17" s="127" t="s">
        <v>136</v>
      </c>
    </row>
    <row r="18" spans="3:13" ht="22" customHeight="1" thickBot="1" x14ac:dyDescent="0.25">
      <c r="C18" s="140" t="s">
        <v>111</v>
      </c>
      <c r="D18" s="16">
        <f>D17-'Acquisition Info'!C5</f>
        <v>0</v>
      </c>
      <c r="E18" s="97" t="s">
        <v>131</v>
      </c>
      <c r="F18" s="10"/>
      <c r="G18" s="161"/>
      <c r="H18" s="118"/>
      <c r="I18" s="125"/>
      <c r="J18" s="10"/>
      <c r="K18" s="129"/>
      <c r="L18" s="130"/>
      <c r="M18" s="131"/>
    </row>
    <row r="19" spans="3:13" ht="17" thickBot="1" x14ac:dyDescent="0.25">
      <c r="C19" s="121"/>
      <c r="D19" s="122"/>
      <c r="E19" s="123"/>
      <c r="F19" s="10"/>
      <c r="G19" s="140" t="s">
        <v>112</v>
      </c>
      <c r="H19" s="16">
        <f>'Pre-Acquisition'!G13+'Scenerio Analysis'!D18</f>
        <v>308800000</v>
      </c>
      <c r="I19" s="97" t="s">
        <v>119</v>
      </c>
      <c r="J19" s="10"/>
      <c r="K19" s="6"/>
      <c r="L19" s="26"/>
      <c r="M19" s="7"/>
    </row>
    <row r="20" spans="3:13" x14ac:dyDescent="0.2"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</row>
    <row r="21" spans="3:13" x14ac:dyDescent="0.2"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</row>
    <row r="22" spans="3:13" x14ac:dyDescent="0.2"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</row>
    <row r="23" spans="3:13" x14ac:dyDescent="0.2"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</row>
  </sheetData>
  <mergeCells count="27">
    <mergeCell ref="G2:I2"/>
    <mergeCell ref="K2:M2"/>
    <mergeCell ref="G12:I12"/>
    <mergeCell ref="K12:M12"/>
    <mergeCell ref="C9:E9"/>
    <mergeCell ref="K18:M19"/>
    <mergeCell ref="K8:M9"/>
    <mergeCell ref="I7:I8"/>
    <mergeCell ref="I17:I18"/>
    <mergeCell ref="G17:G18"/>
    <mergeCell ref="H7:H8"/>
    <mergeCell ref="G7:G8"/>
    <mergeCell ref="H17:H18"/>
    <mergeCell ref="C13:D14"/>
    <mergeCell ref="E13:E14"/>
    <mergeCell ref="G3:H4"/>
    <mergeCell ref="I3:I4"/>
    <mergeCell ref="K3:L4"/>
    <mergeCell ref="M3:M4"/>
    <mergeCell ref="G13:H14"/>
    <mergeCell ref="I13:I14"/>
    <mergeCell ref="K13:L14"/>
    <mergeCell ref="M13:M14"/>
    <mergeCell ref="C2:E2"/>
    <mergeCell ref="C12:E12"/>
    <mergeCell ref="C3:D4"/>
    <mergeCell ref="E3: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Pre-Acquisition</vt:lpstr>
      <vt:lpstr>Acquisition Info</vt:lpstr>
      <vt:lpstr>100% Equity Finance</vt:lpstr>
      <vt:lpstr>100% Debt Finance</vt:lpstr>
      <vt:lpstr>Scenerio 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Edelstein, Zachary D</dc:creator>
  <cp:lastModifiedBy>Edelstein, Zachary D</cp:lastModifiedBy>
  <dcterms:created xsi:type="dcterms:W3CDTF">2025-12-05T02:42:53Z</dcterms:created>
  <dcterms:modified xsi:type="dcterms:W3CDTF">2025-12-05T08:13:42Z</dcterms:modified>
</cp:coreProperties>
</file>